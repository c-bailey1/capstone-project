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💡 Copilot Promp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<sst xmlns="http://schemas.openxmlformats.org/spreadsheetml/2006/main" count="1062" uniqueCount="297">
  <si>
    <t xml:space="preserve">Contoso Electronics – Regional Sales 2024</t>
  </si>
  <si>
    <t xml:space="preserve">Order ID</t>
  </si>
  <si>
    <t xml:space="preserve">Date</t>
  </si>
  <si>
    <t xml:space="preserve">Region</t>
  </si>
  <si>
    <t xml:space="preserve">Salesperson</t>
  </si>
  <si>
    <t xml:space="preserve">Category</t>
  </si>
  <si>
    <t xml:space="preserve">Product</t>
  </si>
  <si>
    <t xml:space="preserve">Units</t>
  </si>
  <si>
    <t xml:space="preserve">Unit Price</t>
  </si>
  <si>
    <t xml:space="preserve">Revenue</t>
  </si>
  <si>
    <t xml:space="preserve">COGS</t>
  </si>
  <si>
    <t xml:space="preserve">Gross Profit</t>
  </si>
  <si>
    <t xml:space="preserve">ORD-0001</t>
  </si>
  <si>
    <t xml:space="preserve">North</t>
  </si>
  <si>
    <t xml:space="preserve">Alice Wang</t>
  </si>
  <si>
    <t xml:space="preserve">Accessories</t>
  </si>
  <si>
    <t xml:space="preserve">Wireless Keyboard</t>
  </si>
  <si>
    <t xml:space="preserve">ORD-0002</t>
  </si>
  <si>
    <t xml:space="preserve">Software</t>
  </si>
  <si>
    <t xml:space="preserve">Security Suite</t>
  </si>
  <si>
    <t xml:space="preserve">ORD-0003</t>
  </si>
  <si>
    <t xml:space="preserve">South</t>
  </si>
  <si>
    <t xml:space="preserve">Carlos Ruiz</t>
  </si>
  <si>
    <t xml:space="preserve">Cloud 1TB</t>
  </si>
  <si>
    <t xml:space="preserve">ORD-0004</t>
  </si>
  <si>
    <t xml:space="preserve">Central</t>
  </si>
  <si>
    <t xml:space="preserve">Julia Stone</t>
  </si>
  <si>
    <t xml:space="preserve">Monitors</t>
  </si>
  <si>
    <t xml:space="preserve">32" 4K</t>
  </si>
  <si>
    <t xml:space="preserve">ORD-0005</t>
  </si>
  <si>
    <t xml:space="preserve">Tablets</t>
  </si>
  <si>
    <t xml:space="preserve">Tab Pro 12</t>
  </si>
  <si>
    <t xml:space="preserve">ORD-0006</t>
  </si>
  <si>
    <t xml:space="preserve">East</t>
  </si>
  <si>
    <t xml:space="preserve">Evan Moss</t>
  </si>
  <si>
    <t xml:space="preserve">Laptops</t>
  </si>
  <si>
    <t xml:space="preserve">UltraBook X1</t>
  </si>
  <si>
    <t xml:space="preserve">ORD-0007</t>
  </si>
  <si>
    <t xml:space="preserve">Fiona Lee</t>
  </si>
  <si>
    <t xml:space="preserve">WorkStation Z</t>
  </si>
  <si>
    <t xml:space="preserve">ORD-0008</t>
  </si>
  <si>
    <t xml:space="preserve">West</t>
  </si>
  <si>
    <t xml:space="preserve">George Hill</t>
  </si>
  <si>
    <t xml:space="preserve">ORD-0009</t>
  </si>
  <si>
    <t xml:space="preserve">ORD-0010</t>
  </si>
  <si>
    <t xml:space="preserve">ORD-0011</t>
  </si>
  <si>
    <t xml:space="preserve">USB-C Hub</t>
  </si>
  <si>
    <t xml:space="preserve">ORD-0012</t>
  </si>
  <si>
    <t xml:space="preserve">ORD-0013</t>
  </si>
  <si>
    <t xml:space="preserve">Hannah Cruz</t>
  </si>
  <si>
    <t xml:space="preserve">Office Suite</t>
  </si>
  <si>
    <t xml:space="preserve">ORD-0014</t>
  </si>
  <si>
    <t xml:space="preserve">Brian Kim</t>
  </si>
  <si>
    <t xml:space="preserve">ORD-0015</t>
  </si>
  <si>
    <t xml:space="preserve">ORD-0016</t>
  </si>
  <si>
    <t xml:space="preserve">ORD-0017</t>
  </si>
  <si>
    <t xml:space="preserve">ORD-0018</t>
  </si>
  <si>
    <t xml:space="preserve">ProBook 14</t>
  </si>
  <si>
    <t xml:space="preserve">ORD-0019</t>
  </si>
  <si>
    <t xml:space="preserve">Ivan Novak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</si>
  <si>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</si>
  <si>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</si>
  <si>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</si>
  <si>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</si>
  <si>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</si>
  <si>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</si>
  <si>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27" HD</t>
  </si>
  <si>
    <t xml:space="preserve">ORD-0026</t>
  </si>
  <si>
    <t xml:space="preserve">ORD-0027</t>
  </si>
  <si>
    <t xml:space="preserve">NC Headset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</si>
  <si>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</si>
  <si>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</si>
  <si>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</si>
  <si>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</si>
  <si>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</si>
  <si>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Diana Patel</t>
  </si>
  <si>
    <t xml:space="preserve">Tab Air 10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</si>
  <si>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</si>
  <si>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</si>
  <si>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</si>
  <si>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</si>
  <si>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</si>
  <si>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</si>
  <si>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</si>
  <si>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</si>
  <si>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</si>
  <si>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</si>
  <si>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</si>
  <si>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</si>
  <si>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</si>
  <si>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</si>
  <si>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</si>
  <si>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</si>
  <si>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</si>
  <si>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</si>
  <si>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</si>
  <si>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</si>
  <si>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</si>
  <si>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</si>
  <si>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</si>
  <si>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24" Portable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</si>
  <si>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</si>
  <si>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</si>
  <si>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</si>
  <si>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</si>
  <si>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</si>
  <si>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</si>
  <si>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</si>
  <si>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</si>
  <si>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</si>
  <si>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</si>
  <si>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</si>
  <si>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</si>
  <si>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</si>
  <si>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</si>
  <si>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</si>
  <si>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</si>
  <si>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Tab Mini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</si>
  <si>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</si>
  <si>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</si>
  <si>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</si>
  <si>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</si>
  <si>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</si>
  <si>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</si>
  <si>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</si>
  <si>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</si>
  <si>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</si>
  <si>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</si>
  <si>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</si>
  <si>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</si>
  <si>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</si>
  <si>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</si>
  <si>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</si>
  <si>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</si>
  <si>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</si>
  <si>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</si>
  <si>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</si>
  <si>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</si>
  <si>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</si>
  <si>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</si>
  <si>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</si>
  <si>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</si>
  <si>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</si>
  <si>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</si>
  <si>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</si>
  <si>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</si>
  <si>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</si>
  <si>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</si>
  <si>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</si>
  <si>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</si>
  <si>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</si>
  <si>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</si>
  <si>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</si>
  <si>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</si>
  <si>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</si>
  <si>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</si>
  <si>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</si>
  <si>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</si>
  <si>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</si>
  <si>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</si>
  <si>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</si>
  <si>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</si>
  <si>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</si>
  <si>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</si>
  <si>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</si>
  <si>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</si>
  <si>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</si>
  <si>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</si>
  <si>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</si>
  <si>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</si>
  <si>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</si>
  <si>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</si>
  <si>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</si>
  <si>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</si>
  <si>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</si>
  <si>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</si>
  <si>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</si>
  <si>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</si>
  <si>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</si>
  <si>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</si>
  <si>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</si>
  <si>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</si>
  <si>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</si>
  <si>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</si>
  <si>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</si>
  <si>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</si>
  <si>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</si>
  <si>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</si>
  <si>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</si>
  <si>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</si>
  <si>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</si>
  <si>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</si>
  <si>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</si>
  <si>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</si>
  <si>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</si>
  <si>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</si>
  <si>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</si>
  <si>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</si>
  <si>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</si>
  <si>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</si>
  <si>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</si>
  <si>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</si>
  <si>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</si>
  <si>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</si>
  <si>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</si>
  <si>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</si>
  <si>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</si>
  <si>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</si>
  <si>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</si>
  <si>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</si>
  <si>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</si>
  <si>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</si>
  <si>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</si>
  <si>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</si>
  <si>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</si>
  <si>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</si>
  <si>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</si>
  <si>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</si>
  <si>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</si>
  <si>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</si>
  <si>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</si>
  <si>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</si>
  <si>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</si>
  <si>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</si>
  <si>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</si>
  <si>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</si>
  <si>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</si>
  <si>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</si>
  <si>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</si>
  <si>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</si>
  <si>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</si>
  <si>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</si>
  <si>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</si>
  <si>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</si>
  <si>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</si>
  <si>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</si>
  <si>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</si>
  <si>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</si>
  <si>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</si>
  <si>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</si>
  <si>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</si>
  <si>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</si>
  <si>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</si>
  <si>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</si>
  <si>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</si>
  <si>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</si>
  <si>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</si>
  <si>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Copilot Prompts for Sales Data Sheet</t>
  </si>
  <si>
    <t xml:space="preserve">── ANALYZE ──</t>
  </si>
  <si>
    <t xml:space="preserve">Summarize sales by region</t>
  </si>
  <si>
    <t xml:space="preserve">Summarize total revenue and units sold broken down by Region on the Sales Data sheet.</t>
  </si>
  <si>
    <t xml:space="preserve">Top performing products</t>
  </si>
  <si>
    <t xml:space="preserve">Which 3 products generated the most revenue overall? Show me a ranked list.</t>
  </si>
  <si>
    <t xml:space="preserve">Salesperson comparison</t>
  </si>
  <si>
    <t xml:space="preserve">Compare each salesperson's total revenue and number of orders. Who is the top performer?</t>
  </si>
  <si>
    <t xml:space="preserve">Category breakdown</t>
  </si>
  <si>
    <t xml:space="preserve">Show revenue and gross profit broken down by Category. Which category has the highest margin?</t>
  </si>
  <si>
    <t xml:space="preserve">Monthly sales trend</t>
  </si>
  <si>
    <t xml:space="preserve">Group sales by month and show total revenue per month. Identify the best and worst months.</t>
  </si>
  <si>
    <t xml:space="preserve">── FORMULAS ──</t>
  </si>
  <si>
    <t xml:space="preserve">Add profit margin column</t>
  </si>
  <si>
    <t xml:space="preserve">Add a Profit Margin % column using Gross Profit divided by Revenue, formatted as a percentage.</t>
  </si>
  <si>
    <t xml:space="preserve">XLOOKUP by order ID</t>
  </si>
  <si>
    <t xml:space="preserve">Write an XLOOKUP formula to find the Salesperson name by entering an Order ID.</t>
  </si>
  <si>
    <t xml:space="preserve">Rank salesperson revenue</t>
  </si>
  <si>
    <t xml:space="preserve">Add a RANK formula to rank each salesperson by total revenue across all their orders.</t>
  </si>
  <si>
    <t xml:space="preserve">Flag large orders</t>
  </si>
  <si>
    <t xml:space="preserve">Add a formula in a new column that shows 'Large Order' if Revenue exceeds $5,000, otherwise blank.</t>
  </si>
  <si>
    <t xml:space="preserve">Running total revenue</t>
  </si>
  <si>
    <t xml:space="preserve">Create a running total column for Revenue that accumulates row by row.</t>
  </si>
  <si>
    <t xml:space="preserve">── VISUALIZE ──</t>
  </si>
  <si>
    <t xml:space="preserve">Revenue bar chart by region</t>
  </si>
  <si>
    <t xml:space="preserve">Create a bar chart showing total revenue per region using the Sales Data sheet.</t>
  </si>
  <si>
    <t xml:space="preserve">Category pie chart</t>
  </si>
  <si>
    <t xml:space="preserve">Make a pie chart showing the revenue split by Category.</t>
  </si>
  <si>
    <t xml:space="preserve">Salesperson comparison chart</t>
  </si>
  <si>
    <t xml:space="preserve">Insert a column chart comparing each salesperson's total revenue side by side.</t>
  </si>
  <si>
    <t xml:space="preserve">Monthly revenue line chart</t>
  </si>
  <si>
    <t xml:space="preserve">Create a line chart of total revenue by month to show the 2024 trend.</t>
  </si>
  <si>
    <t xml:space="preserve">── FORMAT &amp; SORT ──</t>
  </si>
  <si>
    <t xml:space="preserve">Highlight top revenue rows</t>
  </si>
  <si>
    <t xml:space="preserve">Apply a green highlight to any row where Revenue is greater than $10,000.</t>
  </si>
  <si>
    <t xml:space="preserve">Color scale on Gross Profit</t>
  </si>
  <si>
    <t xml:space="preserve">Apply a green-to-red color scale on the Gross Profit column.</t>
  </si>
  <si>
    <t xml:space="preserve">Sort by revenue descending</t>
  </si>
  <si>
    <t xml:space="preserve">Sort the Sales Data sheet by Revenue from highest to lowest.</t>
  </si>
  <si>
    <t xml:space="preserve">Freeze and bold headers</t>
  </si>
  <si>
    <t xml:space="preserve">Freeze the top two rows and make all header text bold and centered.</t>
  </si>
  <si>
    <t xml:space="preserve">── DATA INSIGHTS ──</t>
  </si>
  <si>
    <t xml:space="preserve">Find missing or blank values</t>
  </si>
  <si>
    <t xml:space="preserve">Are there any missing values or blanks anywhere in the Sales Data sheet? Summarize what you find.</t>
  </si>
  <si>
    <t xml:space="preserve">Average order value by region</t>
  </si>
  <si>
    <t xml:space="preserve">What is the average Revenue per order for each Region?</t>
  </si>
  <si>
    <t xml:space="preserve">Best selling product per region</t>
  </si>
  <si>
    <t xml:space="preserve">For each Region, which product had the highest total revenue?</t>
  </si>
  <si>
    <t xml:space="preserve">Units vs revenue correlation</t>
  </si>
  <si>
    <t xml:space="preserve">Is there a relationship between Units sold and Revenue? Summarize the pattern you see.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</si>
</sst>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1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4" t="n">
        <v>45375</v>
      </c>
      <c r="C3" s="5" t="s">
        <v>13</v>
      </c>
      <c r="D3" s="5" t="s">
        <v>14</v>
      </c>
      <c r="E3" s="5" t="s">
        <v>15</v>
      </c>
      <c r="F3" s="5" t="s">
        <v>16</v>
      </c>
      <c r="G3" s="6" t="n">
        <v>8</v>
      </c>
      <c r="H3" s="7" t="n">
        <v>79</v>
      </c>
      <c r="I3" s="7" t="n">
        <f aca="false">G3*H3</f>
        <v>632</v>
      </c>
      <c r="J3" s="7" t="n">
        <f aca="false">G3*35.55</f>
        <v>284.4</v>
      </c>
      <c r="K3" s="7" t="n">
        <f aca="false">I3-J3</f>
        <v>347.6</v>
      </c>
    </row>
    <row r="4" customFormat="false" ht="15" hidden="false" customHeight="false" outlineLevel="0" collapsed="false">
      <c r="A4" s="8" t="s">
        <v>17</v>
      </c>
      <c r="B4" s="9" t="n">
        <v>45294</v>
      </c>
      <c r="C4" s="10" t="s">
        <v>13</v>
      </c>
      <c r="D4" s="10" t="s">
        <v>14</v>
      </c>
      <c r="E4" s="10" t="s">
        <v>18</v>
      </c>
      <c r="F4" s="10" t="s">
        <v>19</v>
      </c>
      <c r="G4" s="11" t="n">
        <v>2</v>
      </c>
      <c r="H4" s="12" t="n">
        <v>89</v>
      </c>
      <c r="I4" s="12" t="n">
        <f aca="false">G4*H4</f>
        <v>178</v>
      </c>
      <c r="J4" s="12" t="n">
        <f aca="false">G4*17.8</f>
        <v>35.6</v>
      </c>
      <c r="K4" s="12" t="n">
        <f aca="false">I4-J4</f>
        <v>142.4</v>
      </c>
    </row>
    <row r="5" customFormat="false" ht="15" hidden="false" customHeight="false" outlineLevel="0" collapsed="false">
      <c r="A5" s="3" t="s">
        <v>20</v>
      </c>
      <c r="B5" s="4" t="n">
        <v>45542</v>
      </c>
      <c r="C5" s="5" t="s">
        <v>21</v>
      </c>
      <c r="D5" s="5" t="s">
        <v>22</v>
      </c>
      <c r="E5" s="5" t="s">
        <v>18</v>
      </c>
      <c r="F5" s="5" t="s">
        <v>23</v>
      </c>
      <c r="G5" s="6" t="n">
        <v>1</v>
      </c>
      <c r="H5" s="7" t="n">
        <v>119</v>
      </c>
      <c r="I5" s="7" t="n">
        <f aca="false">G5*H5</f>
        <v>119</v>
      </c>
      <c r="J5" s="7" t="n">
        <f aca="false">G5*23.8</f>
        <v>23.8</v>
      </c>
      <c r="K5" s="7" t="n">
        <f aca="false">I5-J5</f>
        <v>95.2</v>
      </c>
    </row>
    <row r="6" customFormat="false" ht="15" hidden="false" customHeight="false" outlineLevel="0" collapsed="false">
      <c r="A6" s="8" t="s">
        <v>24</v>
      </c>
      <c r="B6" s="9" t="n">
        <v>45438</v>
      </c>
      <c r="C6" s="10" t="s">
        <v>25</v>
      </c>
      <c r="D6" s="10" t="s">
        <v>26</v>
      </c>
      <c r="E6" s="10" t="s">
        <v>27</v>
      </c>
      <c r="F6" s="10" t="s">
        <v>28</v>
      </c>
      <c r="G6" s="11" t="n">
        <v>19</v>
      </c>
      <c r="H6" s="12" t="n">
        <v>549</v>
      </c>
      <c r="I6" s="12" t="n">
        <f aca="false">G6*H6</f>
        <v>10431</v>
      </c>
      <c r="J6" s="12" t="n">
        <f aca="false">G6*301.95</f>
        <v>5737.05</v>
      </c>
      <c r="K6" s="12" t="n">
        <f aca="false">I6-J6</f>
        <v>4693.95</v>
      </c>
    </row>
    <row r="7" customFormat="false" ht="15" hidden="false" customHeight="false" outlineLevel="0" collapsed="false">
      <c r="A7" s="3" t="s">
        <v>29</v>
      </c>
      <c r="B7" s="4" t="n">
        <v>45358</v>
      </c>
      <c r="C7" s="5" t="s">
        <v>13</v>
      </c>
      <c r="D7" s="5" t="s">
        <v>14</v>
      </c>
      <c r="E7" s="5" t="s">
        <v>30</v>
      </c>
      <c r="F7" s="5" t="s">
        <v>31</v>
      </c>
      <c r="G7" s="6" t="n">
        <v>9</v>
      </c>
      <c r="H7" s="7" t="n">
        <v>799</v>
      </c>
      <c r="I7" s="7" t="n">
        <f aca="false">G7*H7</f>
        <v>7191</v>
      </c>
      <c r="J7" s="7" t="n">
        <f aca="false">G7*463.42</f>
        <v>4170.78</v>
      </c>
      <c r="K7" s="7" t="n">
        <f aca="false">I7-J7</f>
        <v>3020.22</v>
      </c>
    </row>
    <row r="8" customFormat="false" ht="15" hidden="false" customHeight="false" outlineLevel="0" collapsed="false">
      <c r="A8" s="8" t="s">
        <v>32</v>
      </c>
      <c r="B8" s="9" t="n">
        <v>45471</v>
      </c>
      <c r="C8" s="10" t="s">
        <v>33</v>
      </c>
      <c r="D8" s="10" t="s">
        <v>34</v>
      </c>
      <c r="E8" s="10" t="s">
        <v>35</v>
      </c>
      <c r="F8" s="10" t="s">
        <v>36</v>
      </c>
      <c r="G8" s="11" t="n">
        <v>4</v>
      </c>
      <c r="H8" s="12" t="n">
        <v>1299</v>
      </c>
      <c r="I8" s="12" t="n">
        <f aca="false">G8*H8</f>
        <v>5196</v>
      </c>
      <c r="J8" s="12" t="n">
        <f aca="false">G8*779.4</f>
        <v>3117.6</v>
      </c>
      <c r="K8" s="12" t="n">
        <f aca="false">I8-J8</f>
        <v>2078.4</v>
      </c>
    </row>
    <row r="9" customFormat="false" ht="15" hidden="false" customHeight="false" outlineLevel="0" collapsed="false">
      <c r="A9" s="3" t="s">
        <v>37</v>
      </c>
      <c r="B9" s="4" t="n">
        <v>45539</v>
      </c>
      <c r="C9" s="5" t="s">
        <v>33</v>
      </c>
      <c r="D9" s="5" t="s">
        <v>38</v>
      </c>
      <c r="E9" s="5" t="s">
        <v>35</v>
      </c>
      <c r="F9" s="5" t="s">
        <v>39</v>
      </c>
      <c r="G9" s="6" t="n">
        <v>15</v>
      </c>
      <c r="H9" s="7" t="n">
        <v>1799</v>
      </c>
      <c r="I9" s="7" t="n">
        <f aca="false">G9*H9</f>
        <v>26985</v>
      </c>
      <c r="J9" s="7" t="n">
        <f aca="false">G9*1079.4</f>
        <v>16191</v>
      </c>
      <c r="K9" s="7" t="n">
        <f aca="false">I9-J9</f>
        <v>10794</v>
      </c>
    </row>
    <row r="10" customFormat="false" ht="15" hidden="false" customHeight="false" outlineLevel="0" collapsed="false">
      <c r="A10" s="8" t="s">
        <v>40</v>
      </c>
      <c r="B10" s="9" t="n">
        <v>45462</v>
      </c>
      <c r="C10" s="10" t="s">
        <v>41</v>
      </c>
      <c r="D10" s="10" t="s">
        <v>42</v>
      </c>
      <c r="E10" s="10" t="s">
        <v>18</v>
      </c>
      <c r="F10" s="10" t="s">
        <v>19</v>
      </c>
      <c r="G10" s="11" t="n">
        <v>20</v>
      </c>
      <c r="H10" s="12" t="n">
        <v>89</v>
      </c>
      <c r="I10" s="12" t="n">
        <f aca="false">G10*H10</f>
        <v>1780</v>
      </c>
      <c r="J10" s="12" t="n">
        <f aca="false">G10*17.8</f>
        <v>356</v>
      </c>
      <c r="K10" s="12" t="n">
        <f aca="false">I10-J10</f>
        <v>1424</v>
      </c>
    </row>
    <row r="11" customFormat="false" ht="15" hidden="false" customHeight="false" outlineLevel="0" collapsed="false">
      <c r="A11" s="3" t="s">
        <v>43</v>
      </c>
      <c r="B11" s="4" t="n">
        <v>45415</v>
      </c>
      <c r="C11" s="5" t="s">
        <v>21</v>
      </c>
      <c r="D11" s="5" t="s">
        <v>22</v>
      </c>
      <c r="E11" s="5" t="s">
        <v>35</v>
      </c>
      <c r="F11" s="5" t="s">
        <v>39</v>
      </c>
      <c r="G11" s="6" t="n">
        <v>8</v>
      </c>
      <c r="H11" s="7" t="n">
        <v>1799</v>
      </c>
      <c r="I11" s="7" t="n">
        <f aca="false">G11*H11</f>
        <v>14392</v>
      </c>
      <c r="J11" s="7" t="n">
        <f aca="false">G11*1079.4</f>
        <v>8635.2</v>
      </c>
      <c r="K11" s="7" t="n">
        <f aca="false">I11-J11</f>
        <v>5756.8</v>
      </c>
    </row>
    <row r="12" customFormat="false" ht="15" hidden="false" customHeight="false" outlineLevel="0" collapsed="false">
      <c r="A12" s="8" t="s">
        <v>44</v>
      </c>
      <c r="B12" s="9" t="n">
        <v>45623</v>
      </c>
      <c r="C12" s="10" t="s">
        <v>21</v>
      </c>
      <c r="D12" s="10" t="s">
        <v>22</v>
      </c>
      <c r="E12" s="10" t="s">
        <v>30</v>
      </c>
      <c r="F12" s="10" t="s">
        <v>31</v>
      </c>
      <c r="G12" s="11" t="n">
        <v>15</v>
      </c>
      <c r="H12" s="12" t="n">
        <v>799</v>
      </c>
      <c r="I12" s="12" t="n">
        <f aca="false">G12*H12</f>
        <v>11985</v>
      </c>
      <c r="J12" s="12" t="n">
        <f aca="false">G12*463.42</f>
        <v>6951.3</v>
      </c>
      <c r="K12" s="12" t="n">
        <f aca="false">I12-J12</f>
        <v>5033.7</v>
      </c>
    </row>
    <row r="13" customFormat="false" ht="15" hidden="false" customHeight="false" outlineLevel="0" collapsed="false">
      <c r="A13" s="3" t="s">
        <v>45</v>
      </c>
      <c r="B13" s="4" t="n">
        <v>45605</v>
      </c>
      <c r="C13" s="5" t="s">
        <v>33</v>
      </c>
      <c r="D13" s="5" t="s">
        <v>34</v>
      </c>
      <c r="E13" s="5" t="s">
        <v>15</v>
      </c>
      <c r="F13" s="5" t="s">
        <v>46</v>
      </c>
      <c r="G13" s="6" t="n">
        <v>7</v>
      </c>
      <c r="H13" s="7" t="n">
        <v>59</v>
      </c>
      <c r="I13" s="7" t="n">
        <f aca="false">G13*H13</f>
        <v>413</v>
      </c>
      <c r="J13" s="7" t="n">
        <f aca="false">G13*26.55</f>
        <v>185.85</v>
      </c>
      <c r="K13" s="7" t="n">
        <f aca="false">I13-J13</f>
        <v>227.15</v>
      </c>
    </row>
    <row r="14" customFormat="false" ht="15" hidden="false" customHeight="false" outlineLevel="0" collapsed="false">
      <c r="A14" s="8" t="s">
        <v>47</v>
      </c>
      <c r="B14" s="9" t="n">
        <v>45366</v>
      </c>
      <c r="C14" s="10" t="s">
        <v>13</v>
      </c>
      <c r="D14" s="10" t="s">
        <v>14</v>
      </c>
      <c r="E14" s="10" t="s">
        <v>18</v>
      </c>
      <c r="F14" s="10" t="s">
        <v>23</v>
      </c>
      <c r="G14" s="11" t="n">
        <v>8</v>
      </c>
      <c r="H14" s="12" t="n">
        <v>119</v>
      </c>
      <c r="I14" s="12" t="n">
        <f aca="false">G14*H14</f>
        <v>952</v>
      </c>
      <c r="J14" s="12" t="n">
        <f aca="false">G14*23.8</f>
        <v>190.4</v>
      </c>
      <c r="K14" s="12" t="n">
        <f aca="false">I14-J14</f>
        <v>761.6</v>
      </c>
    </row>
    <row r="15" customFormat="false" ht="15" hidden="false" customHeight="false" outlineLevel="0" collapsed="false">
      <c r="A15" s="3" t="s">
        <v>48</v>
      </c>
      <c r="B15" s="4" t="n">
        <v>45299</v>
      </c>
      <c r="C15" s="5" t="s">
        <v>41</v>
      </c>
      <c r="D15" s="5" t="s">
        <v>49</v>
      </c>
      <c r="E15" s="5" t="s">
        <v>18</v>
      </c>
      <c r="F15" s="5" t="s">
        <v>50</v>
      </c>
      <c r="G15" s="6" t="n">
        <v>11</v>
      </c>
      <c r="H15" s="7" t="n">
        <v>149</v>
      </c>
      <c r="I15" s="7" t="n">
        <f aca="false">G15*H15</f>
        <v>1639</v>
      </c>
      <c r="J15" s="7" t="n">
        <f aca="false">G15*29.8</f>
        <v>327.8</v>
      </c>
      <c r="K15" s="7" t="n">
        <f aca="false">I15-J15</f>
        <v>1311.2</v>
      </c>
    </row>
    <row r="16" customFormat="false" ht="15" hidden="false" customHeight="false" outlineLevel="0" collapsed="false">
      <c r="A16" s="8" t="s">
        <v>51</v>
      </c>
      <c r="B16" s="9" t="n">
        <v>45401</v>
      </c>
      <c r="C16" s="10" t="s">
        <v>13</v>
      </c>
      <c r="D16" s="10" t="s">
        <v>52</v>
      </c>
      <c r="E16" s="10" t="s">
        <v>30</v>
      </c>
      <c r="F16" s="10" t="s">
        <v>31</v>
      </c>
      <c r="G16" s="11" t="n">
        <v>3</v>
      </c>
      <c r="H16" s="12" t="n">
        <v>799</v>
      </c>
      <c r="I16" s="12" t="n">
        <f aca="false">G16*H16</f>
        <v>2397</v>
      </c>
      <c r="J16" s="12" t="n">
        <f aca="false">G16*463.42</f>
        <v>1390.26</v>
      </c>
      <c r="K16" s="12" t="n">
        <f aca="false">I16-J16</f>
        <v>1006.74</v>
      </c>
    </row>
    <row r="17" customFormat="false" ht="15" hidden="false" customHeight="false" outlineLevel="0" collapsed="false">
      <c r="A17" s="3" t="s">
        <v>53</v>
      </c>
      <c r="B17" s="4" t="n">
        <v>45360</v>
      </c>
      <c r="C17" s="5" t="s">
        <v>33</v>
      </c>
      <c r="D17" s="5" t="s">
        <v>34</v>
      </c>
      <c r="E17" s="5" t="s">
        <v>30</v>
      </c>
      <c r="F17" s="5" t="s">
        <v>31</v>
      </c>
      <c r="G17" s="6" t="n">
        <v>15</v>
      </c>
      <c r="H17" s="7" t="n">
        <v>799</v>
      </c>
      <c r="I17" s="7" t="n">
        <f aca="false">G17*H17</f>
        <v>11985</v>
      </c>
      <c r="J17" s="7" t="n">
        <f aca="false">G17*463.42</f>
        <v>6951.3</v>
      </c>
      <c r="K17" s="7" t="n">
        <f aca="false">I17-J17</f>
        <v>5033.7</v>
      </c>
    </row>
    <row r="18" customFormat="false" ht="15" hidden="false" customHeight="false" outlineLevel="0" collapsed="false">
      <c r="A18" s="8" t="s">
        <v>54</v>
      </c>
      <c r="B18" s="9" t="n">
        <v>45645</v>
      </c>
      <c r="C18" s="10" t="s">
        <v>21</v>
      </c>
      <c r="D18" s="10" t="s">
        <v>22</v>
      </c>
      <c r="E18" s="10" t="s">
        <v>18</v>
      </c>
      <c r="F18" s="10" t="s">
        <v>23</v>
      </c>
      <c r="G18" s="11" t="n">
        <v>9</v>
      </c>
      <c r="H18" s="12" t="n">
        <v>119</v>
      </c>
      <c r="I18" s="12" t="n">
        <f aca="false">G18*H18</f>
        <v>1071</v>
      </c>
      <c r="J18" s="12" t="n">
        <f aca="false">G18*23.8</f>
        <v>214.2</v>
      </c>
      <c r="K18" s="12" t="n">
        <f aca="false">I18-J18</f>
        <v>856.8</v>
      </c>
    </row>
    <row r="19" customFormat="false" ht="15" hidden="false" customHeight="false" outlineLevel="0" collapsed="false">
      <c r="A19" s="3" t="s">
        <v>55</v>
      </c>
      <c r="B19" s="4" t="n">
        <v>45551</v>
      </c>
      <c r="C19" s="5" t="s">
        <v>41</v>
      </c>
      <c r="D19" s="5" t="s">
        <v>49</v>
      </c>
      <c r="E19" s="5" t="s">
        <v>15</v>
      </c>
      <c r="F19" s="5" t="s">
        <v>16</v>
      </c>
      <c r="G19" s="6" t="n">
        <v>5</v>
      </c>
      <c r="H19" s="7" t="n">
        <v>79</v>
      </c>
      <c r="I19" s="7" t="n">
        <f aca="false">G19*H19</f>
        <v>395</v>
      </c>
      <c r="J19" s="7" t="n">
        <f aca="false">G19*35.55</f>
        <v>177.75</v>
      </c>
      <c r="K19" s="7" t="n">
        <f aca="false">I19-J19</f>
        <v>217.25</v>
      </c>
    </row>
    <row r="20" customFormat="false" ht="15" hidden="false" customHeight="false" outlineLevel="0" collapsed="false">
      <c r="A20" s="8" t="s">
        <v>56</v>
      </c>
      <c r="B20" s="9" t="n">
        <v>45610</v>
      </c>
      <c r="C20" s="10" t="s">
        <v>13</v>
      </c>
      <c r="D20" s="10" t="s">
        <v>14</v>
      </c>
      <c r="E20" s="10" t="s">
        <v>35</v>
      </c>
      <c r="F20" s="10" t="s">
        <v>57</v>
      </c>
      <c r="G20" s="11" t="n">
        <v>6</v>
      </c>
      <c r="H20" s="12" t="n">
        <v>899</v>
      </c>
      <c r="I20" s="12" t="n">
        <f aca="false">G20*H20</f>
        <v>5394</v>
      </c>
      <c r="J20" s="12" t="n">
        <f aca="false">G20*539.4</f>
        <v>3236.4</v>
      </c>
      <c r="K20" s="12" t="n">
        <f aca="false">I20-J20</f>
        <v>2157.6</v>
      </c>
    </row>
    <row r="21" customFormat="false" ht="15" hidden="false" customHeight="false" outlineLevel="0" collapsed="false">
      <c r="A21" s="3" t="s">
        <v>58</v>
      </c>
      <c r="B21" s="4" t="n">
        <v>45521</v>
      </c>
      <c r="C21" s="5" t="s">
        <v>25</v>
      </c>
      <c r="D21" s="5" t="s">
        <v>59</v>
      </c>
      <c r="E21" s="5" t="s">
        <v>30</v>
      </c>
      <c r="F21" s="5" t="s">
        <v>31</v>
      </c>
      <c r="G21" s="6" t="n">
        <v>20</v>
      </c>
      <c r="H21" s="7" t="n">
        <v>799</v>
      </c>
      <c r="I21" s="7" t="n">
        <f aca="false">G21*H21</f>
        <v>15980</v>
      </c>
      <c r="J21" s="7" t="n">
        <f aca="false">G21*463.42</f>
        <v>9268.4</v>
      </c>
      <c r="K21" s="7" t="n">
        <f aca="false">I21-J21</f>
        <v>6711.6</v>
      </c>
    </row>
    <row r="22" customFormat="false" ht="15" hidden="false" customHeight="false" outlineLevel="0" collapsed="false">
      <c r="A22" s="8" t="s">
        <v>60</v>
      </c>
      <c r="B22" s="9" t="n">
        <v>45437</v>
      </c>
      <c r="C22" s="10" t="s">
        <v>33</v>
      </c>
      <c r="D22" s="10" t="s">
        <v>34</v>
      </c>
      <c r="E22" s="10" t="s">
        <v>35</v>
      </c>
      <c r="F22" s="10" t="s">
        <v>39</v>
      </c>
      <c r="G22" s="11" t="n">
        <v>18</v>
      </c>
      <c r="H22" s="12" t="n">
        <v>1799</v>
      </c>
      <c r="I22" s="12" t="n">
        <f aca="false">G22*H22</f>
        <v>32382</v>
      </c>
      <c r="J22" s="12" t="n">
        <f aca="false">G22*1079.4</f>
        <v>19429.2</v>
      </c>
      <c r="K22" s="12" t="n">
        <f aca="false">I22-J22</f>
        <v>12952.8</v>
      </c>
    </row>
    <row r="23" customFormat="false" ht="15" hidden="false" customHeight="false" outlineLevel="0" collapsed="false">
      <c r="A23" s="3" t="s">
        <v>61</v>
      </c>
      <c r="B23" s="4" t="n">
        <v>45505</v>
      </c>
      <c r="C23" s="5" t="s">
        <v>33</v>
      </c>
      <c r="D23" s="5" t="s">
        <v>34</v>
      </c>
      <c r="E23" s="5" t="s">
        <v>15</v>
      </c>
      <c r="F23" s="5" t="s">
        <v>46</v>
      </c>
      <c r="G23" s="6" t="n">
        <v>6</v>
      </c>
      <c r="H23" s="7" t="n">
        <v>59</v>
      </c>
      <c r="I23" s="7" t="n">
        <f aca="false">G23*H23</f>
        <v>354</v>
      </c>
      <c r="J23" s="7" t="n">
        <f aca="false">G23*26.55</f>
        <v>159.3</v>
      </c>
      <c r="K23" s="7" t="n">
        <f aca="false">I23-J23</f>
        <v>194.7</v>
      </c>
    </row>
    <row r="24" customFormat="false" ht="15" hidden="false" customHeight="false" outlineLevel="0" collapsed="false">
      <c r="A24" s="8" t="s">
        <v>62</v>
      </c>
      <c r="B24" s="9" t="n">
        <v>45613</v>
      </c>
      <c r="C24" s="10" t="s">
        <v>33</v>
      </c>
      <c r="D24" s="10" t="s">
        <v>34</v>
      </c>
      <c r="E24" s="10" t="s">
        <v>18</v>
      </c>
      <c r="F24" s="10" t="s">
        <v>50</v>
      </c>
      <c r="G24" s="11" t="n">
        <v>10</v>
      </c>
      <c r="H24" s="12" t="n">
        <v>149</v>
      </c>
      <c r="I24" s="12" t="n">
        <f aca="false">G24*H24</f>
        <v>1490</v>
      </c>
      <c r="J24" s="12" t="n">
        <f aca="false">G24*29.8</f>
        <v>298</v>
      </c>
      <c r="K24" s="12" t="n">
        <f aca="false">I24-J24</f>
        <v>1192</v>
      </c>
    </row>
    <row r="25" customFormat="false" ht="15" hidden="false" customHeight="false" outlineLevel="0" collapsed="false">
      <c r="A25" s="3" t="s">
        <v>63</v>
      </c>
      <c r="B25" s="4" t="n">
        <v>45560</v>
      </c>
      <c r="C25" s="5" t="s">
        <v>25</v>
      </c>
      <c r="D25" s="5" t="s">
        <v>59</v>
      </c>
      <c r="E25" s="5" t="s">
        <v>27</v>
      </c>
      <c r="F25" s="5" t="s">
        <v>28</v>
      </c>
      <c r="G25" s="6" t="n">
        <v>6</v>
      </c>
      <c r="H25" s="7" t="n">
        <v>549</v>
      </c>
      <c r="I25" s="7" t="n">
        <f aca="false">G25*H25</f>
        <v>3294</v>
      </c>
      <c r="J25" s="7" t="n">
        <f aca="false">G25*301.95</f>
        <v>1811.7</v>
      </c>
      <c r="K25" s="7" t="n">
        <f aca="false">I25-J25</f>
        <v>1482.3</v>
      </c>
    </row>
    <row r="26" customFormat="false" ht="15" hidden="false" customHeight="false" outlineLevel="0" collapsed="false">
      <c r="A26" s="8" t="s">
        <v>64</v>
      </c>
      <c r="B26" s="9" t="n">
        <v>45295</v>
      </c>
      <c r="C26" s="10" t="s">
        <v>25</v>
      </c>
      <c r="D26" s="10" t="s">
        <v>59</v>
      </c>
      <c r="E26" s="10" t="s">
        <v>18</v>
      </c>
      <c r="F26" s="10" t="s">
        <v>19</v>
      </c>
      <c r="G26" s="11" t="n">
        <v>16</v>
      </c>
      <c r="H26" s="12" t="n">
        <v>89</v>
      </c>
      <c r="I26" s="12" t="n">
        <f aca="false">G26*H26</f>
        <v>1424</v>
      </c>
      <c r="J26" s="12" t="n">
        <f aca="false">G26*17.8</f>
        <v>284.8</v>
      </c>
      <c r="K26" s="12" t="n">
        <f aca="false">I26-J26</f>
        <v>1139.2</v>
      </c>
    </row>
    <row r="27" customFormat="false" ht="15" hidden="false" customHeight="false" outlineLevel="0" collapsed="false">
      <c r="A27" s="3" t="s">
        <v>65</v>
      </c>
      <c r="B27" s="4" t="n">
        <v>45568</v>
      </c>
      <c r="C27" s="5" t="s">
        <v>33</v>
      </c>
      <c r="D27" s="5" t="s">
        <v>38</v>
      </c>
      <c r="E27" s="5" t="s">
        <v>27</v>
      </c>
      <c r="F27" s="5" t="s">
        <v>66</v>
      </c>
      <c r="G27" s="6" t="n">
        <v>8</v>
      </c>
      <c r="H27" s="7" t="n">
        <v>249</v>
      </c>
      <c r="I27" s="7" t="n">
        <f aca="false">G27*H27</f>
        <v>1992</v>
      </c>
      <c r="J27" s="7" t="n">
        <f aca="false">G27*136.95</f>
        <v>1095.6</v>
      </c>
      <c r="K27" s="7" t="n">
        <f aca="false">I27-J27</f>
        <v>896.4</v>
      </c>
    </row>
    <row r="28" customFormat="false" ht="15" hidden="false" customHeight="false" outlineLevel="0" collapsed="false">
      <c r="A28" s="8" t="s">
        <v>67</v>
      </c>
      <c r="B28" s="9" t="n">
        <v>45373</v>
      </c>
      <c r="C28" s="10" t="s">
        <v>13</v>
      </c>
      <c r="D28" s="10" t="s">
        <v>52</v>
      </c>
      <c r="E28" s="10" t="s">
        <v>35</v>
      </c>
      <c r="F28" s="10" t="s">
        <v>39</v>
      </c>
      <c r="G28" s="11" t="n">
        <v>5</v>
      </c>
      <c r="H28" s="12" t="n">
        <v>1799</v>
      </c>
      <c r="I28" s="12" t="n">
        <f aca="false">G28*H28</f>
        <v>8995</v>
      </c>
      <c r="J28" s="12" t="n">
        <f aca="false">G28*1079.4</f>
        <v>5397</v>
      </c>
      <c r="K28" s="12" t="n">
        <f aca="false">I28-J28</f>
        <v>3598</v>
      </c>
    </row>
    <row r="29" customFormat="false" ht="15" hidden="false" customHeight="false" outlineLevel="0" collapsed="false">
      <c r="A29" s="3" t="s">
        <v>68</v>
      </c>
      <c r="B29" s="4" t="n">
        <v>45480</v>
      </c>
      <c r="C29" s="5" t="s">
        <v>41</v>
      </c>
      <c r="D29" s="5" t="s">
        <v>42</v>
      </c>
      <c r="E29" s="5" t="s">
        <v>15</v>
      </c>
      <c r="F29" s="5" t="s">
        <v>69</v>
      </c>
      <c r="G29" s="6" t="n">
        <v>20</v>
      </c>
      <c r="H29" s="7" t="n">
        <v>199</v>
      </c>
      <c r="I29" s="7" t="n">
        <f aca="false">G29*H29</f>
        <v>3980</v>
      </c>
      <c r="J29" s="7" t="n">
        <f aca="false">G29*89.55</f>
        <v>1791</v>
      </c>
      <c r="K29" s="7" t="n">
        <f aca="false">I29-J29</f>
        <v>2189</v>
      </c>
    </row>
    <row r="30" customFormat="false" ht="15" hidden="false" customHeight="false" outlineLevel="0" collapsed="false">
      <c r="A30" s="8" t="s">
        <v>70</v>
      </c>
      <c r="B30" s="9" t="n">
        <v>45521</v>
      </c>
      <c r="C30" s="10" t="s">
        <v>25</v>
      </c>
      <c r="D30" s="10" t="s">
        <v>59</v>
      </c>
      <c r="E30" s="10" t="s">
        <v>15</v>
      </c>
      <c r="F30" s="10" t="s">
        <v>46</v>
      </c>
      <c r="G30" s="11" t="n">
        <v>12</v>
      </c>
      <c r="H30" s="12" t="n">
        <v>59</v>
      </c>
      <c r="I30" s="12" t="n">
        <f aca="false">G30*H30</f>
        <v>708</v>
      </c>
      <c r="J30" s="12" t="n">
        <f aca="false">G30*26.55</f>
        <v>318.6</v>
      </c>
      <c r="K30" s="12" t="n">
        <f aca="false">I30-J30</f>
        <v>389.4</v>
      </c>
    </row>
    <row r="31" customFormat="false" ht="15" hidden="false" customHeight="false" outlineLevel="0" collapsed="false">
      <c r="A31" s="3" t="s">
        <v>71</v>
      </c>
      <c r="B31" s="4" t="n">
        <v>45444</v>
      </c>
      <c r="C31" s="5" t="s">
        <v>41</v>
      </c>
      <c r="D31" s="5" t="s">
        <v>42</v>
      </c>
      <c r="E31" s="5" t="s">
        <v>27</v>
      </c>
      <c r="F31" s="5" t="s">
        <v>66</v>
      </c>
      <c r="G31" s="6" t="n">
        <v>3</v>
      </c>
      <c r="H31" s="7" t="n">
        <v>249</v>
      </c>
      <c r="I31" s="7" t="n">
        <f aca="false">G31*H31</f>
        <v>747</v>
      </c>
      <c r="J31" s="7" t="n">
        <f aca="false">G31*136.95</f>
        <v>410.85</v>
      </c>
      <c r="K31" s="7" t="n">
        <f aca="false">I31-J31</f>
        <v>336.15</v>
      </c>
    </row>
    <row r="32" customFormat="false" ht="15" hidden="false" customHeight="false" outlineLevel="0" collapsed="false">
      <c r="A32" s="8" t="s">
        <v>72</v>
      </c>
      <c r="B32" s="9" t="n">
        <v>45345</v>
      </c>
      <c r="C32" s="10" t="s">
        <v>25</v>
      </c>
      <c r="D32" s="10" t="s">
        <v>59</v>
      </c>
      <c r="E32" s="10" t="s">
        <v>18</v>
      </c>
      <c r="F32" s="10" t="s">
        <v>50</v>
      </c>
      <c r="G32" s="11" t="n">
        <v>1</v>
      </c>
      <c r="H32" s="12" t="n">
        <v>149</v>
      </c>
      <c r="I32" s="12" t="n">
        <f aca="false">G32*H32</f>
        <v>149</v>
      </c>
      <c r="J32" s="12" t="n">
        <f aca="false">G32*29.8</f>
        <v>29.8</v>
      </c>
      <c r="K32" s="12" t="n">
        <f aca="false">I32-J32</f>
        <v>119.2</v>
      </c>
    </row>
    <row r="33" customFormat="false" ht="15" hidden="false" customHeight="false" outlineLevel="0" collapsed="false">
      <c r="A33" s="3" t="s">
        <v>73</v>
      </c>
      <c r="B33" s="4" t="n">
        <v>45339</v>
      </c>
      <c r="C33" s="5" t="s">
        <v>13</v>
      </c>
      <c r="D33" s="5" t="s">
        <v>14</v>
      </c>
      <c r="E33" s="5" t="s">
        <v>35</v>
      </c>
      <c r="F33" s="5" t="s">
        <v>57</v>
      </c>
      <c r="G33" s="6" t="n">
        <v>11</v>
      </c>
      <c r="H33" s="7" t="n">
        <v>899</v>
      </c>
      <c r="I33" s="7" t="n">
        <f aca="false">G33*H33</f>
        <v>9889</v>
      </c>
      <c r="J33" s="7" t="n">
        <f aca="false">G33*539.4</f>
        <v>5933.4</v>
      </c>
      <c r="K33" s="7" t="n">
        <f aca="false">I33-J33</f>
        <v>3955.6</v>
      </c>
    </row>
    <row r="34" customFormat="false" ht="15" hidden="false" customHeight="false" outlineLevel="0" collapsed="false">
      <c r="A34" s="8" t="s">
        <v>74</v>
      </c>
      <c r="B34" s="9" t="n">
        <v>45375</v>
      </c>
      <c r="C34" s="10" t="s">
        <v>21</v>
      </c>
      <c r="D34" s="10" t="s">
        <v>75</v>
      </c>
      <c r="E34" s="10" t="s">
        <v>30</v>
      </c>
      <c r="F34" s="10" t="s">
        <v>76</v>
      </c>
      <c r="G34" s="11" t="n">
        <v>18</v>
      </c>
      <c r="H34" s="12" t="n">
        <v>499</v>
      </c>
      <c r="I34" s="12" t="n">
        <f aca="false">G34*H34</f>
        <v>8982</v>
      </c>
      <c r="J34" s="12" t="n">
        <f aca="false">G34*289.42</f>
        <v>5209.56</v>
      </c>
      <c r="K34" s="12" t="n">
        <f aca="false">I34-J34</f>
        <v>3772.44</v>
      </c>
    </row>
    <row r="35" customFormat="false" ht="15" hidden="false" customHeight="false" outlineLevel="0" collapsed="false">
      <c r="A35" s="3" t="s">
        <v>77</v>
      </c>
      <c r="B35" s="4" t="n">
        <v>45386</v>
      </c>
      <c r="C35" s="5" t="s">
        <v>25</v>
      </c>
      <c r="D35" s="5" t="s">
        <v>26</v>
      </c>
      <c r="E35" s="5" t="s">
        <v>27</v>
      </c>
      <c r="F35" s="5" t="s">
        <v>28</v>
      </c>
      <c r="G35" s="6" t="n">
        <v>14</v>
      </c>
      <c r="H35" s="7" t="n">
        <v>549</v>
      </c>
      <c r="I35" s="7" t="n">
        <f aca="false">G35*H35</f>
        <v>7686</v>
      </c>
      <c r="J35" s="7" t="n">
        <f aca="false">G35*301.95</f>
        <v>4227.3</v>
      </c>
      <c r="K35" s="7" t="n">
        <f aca="false">I35-J35</f>
        <v>3458.7</v>
      </c>
    </row>
    <row r="36" customFormat="false" ht="15" hidden="false" customHeight="false" outlineLevel="0" collapsed="false">
      <c r="A36" s="8" t="s">
        <v>78</v>
      </c>
      <c r="B36" s="9" t="n">
        <v>45532</v>
      </c>
      <c r="C36" s="10" t="s">
        <v>13</v>
      </c>
      <c r="D36" s="10" t="s">
        <v>52</v>
      </c>
      <c r="E36" s="10" t="s">
        <v>15</v>
      </c>
      <c r="F36" s="10" t="s">
        <v>46</v>
      </c>
      <c r="G36" s="11" t="n">
        <v>14</v>
      </c>
      <c r="H36" s="12" t="n">
        <v>59</v>
      </c>
      <c r="I36" s="12" t="n">
        <f aca="false">G36*H36</f>
        <v>826</v>
      </c>
      <c r="J36" s="12" t="n">
        <f aca="false">G36*26.55</f>
        <v>371.7</v>
      </c>
      <c r="K36" s="12" t="n">
        <f aca="false">I36-J36</f>
        <v>454.3</v>
      </c>
    </row>
    <row r="37" customFormat="false" ht="15" hidden="false" customHeight="false" outlineLevel="0" collapsed="false">
      <c r="A37" s="3" t="s">
        <v>79</v>
      </c>
      <c r="B37" s="4" t="n">
        <v>45330</v>
      </c>
      <c r="C37" s="5" t="s">
        <v>13</v>
      </c>
      <c r="D37" s="5" t="s">
        <v>14</v>
      </c>
      <c r="E37" s="5" t="s">
        <v>35</v>
      </c>
      <c r="F37" s="5" t="s">
        <v>36</v>
      </c>
      <c r="G37" s="6" t="n">
        <v>11</v>
      </c>
      <c r="H37" s="7" t="n">
        <v>1299</v>
      </c>
      <c r="I37" s="7" t="n">
        <f aca="false">G37*H37</f>
        <v>14289</v>
      </c>
      <c r="J37" s="7" t="n">
        <f aca="false">G37*779.4</f>
        <v>8573.4</v>
      </c>
      <c r="K37" s="7" t="n">
        <f aca="false">I37-J37</f>
        <v>5715.6</v>
      </c>
    </row>
    <row r="38" customFormat="false" ht="15" hidden="false" customHeight="false" outlineLevel="0" collapsed="false">
      <c r="A38" s="8" t="s">
        <v>80</v>
      </c>
      <c r="B38" s="9" t="n">
        <v>45479</v>
      </c>
      <c r="C38" s="10" t="s">
        <v>21</v>
      </c>
      <c r="D38" s="10" t="s">
        <v>22</v>
      </c>
      <c r="E38" s="10" t="s">
        <v>18</v>
      </c>
      <c r="F38" s="10" t="s">
        <v>19</v>
      </c>
      <c r="G38" s="11" t="n">
        <v>5</v>
      </c>
      <c r="H38" s="12" t="n">
        <v>89</v>
      </c>
      <c r="I38" s="12" t="n">
        <f aca="false">G38*H38</f>
        <v>445</v>
      </c>
      <c r="J38" s="12" t="n">
        <f aca="false">G38*17.8</f>
        <v>89</v>
      </c>
      <c r="K38" s="12" t="n">
        <f aca="false">I38-J38</f>
        <v>356</v>
      </c>
    </row>
    <row r="39" customFormat="false" ht="15" hidden="false" customHeight="false" outlineLevel="0" collapsed="false">
      <c r="A39" s="3" t="s">
        <v>81</v>
      </c>
      <c r="B39" s="4" t="n">
        <v>45539</v>
      </c>
      <c r="C39" s="5" t="s">
        <v>33</v>
      </c>
      <c r="D39" s="5" t="s">
        <v>38</v>
      </c>
      <c r="E39" s="5" t="s">
        <v>27</v>
      </c>
      <c r="F39" s="5" t="s">
        <v>66</v>
      </c>
      <c r="G39" s="6" t="n">
        <v>15</v>
      </c>
      <c r="H39" s="7" t="n">
        <v>249</v>
      </c>
      <c r="I39" s="7" t="n">
        <f aca="false">G39*H39</f>
        <v>3735</v>
      </c>
      <c r="J39" s="7" t="n">
        <f aca="false">G39*136.95</f>
        <v>2054.25</v>
      </c>
      <c r="K39" s="7" t="n">
        <f aca="false">I39-J39</f>
        <v>1680.75</v>
      </c>
    </row>
    <row r="40" customFormat="false" ht="15" hidden="false" customHeight="false" outlineLevel="0" collapsed="false">
      <c r="A40" s="8" t="s">
        <v>82</v>
      </c>
      <c r="B40" s="9" t="n">
        <v>45489</v>
      </c>
      <c r="C40" s="10" t="s">
        <v>13</v>
      </c>
      <c r="D40" s="10" t="s">
        <v>14</v>
      </c>
      <c r="E40" s="10" t="s">
        <v>35</v>
      </c>
      <c r="F40" s="10" t="s">
        <v>57</v>
      </c>
      <c r="G40" s="11" t="n">
        <v>6</v>
      </c>
      <c r="H40" s="12" t="n">
        <v>899</v>
      </c>
      <c r="I40" s="12" t="n">
        <f aca="false">G40*H40</f>
        <v>5394</v>
      </c>
      <c r="J40" s="12" t="n">
        <f aca="false">G40*539.4</f>
        <v>3236.4</v>
      </c>
      <c r="K40" s="12" t="n">
        <f aca="false">I40-J40</f>
        <v>2157.6</v>
      </c>
    </row>
    <row r="41" customFormat="false" ht="15" hidden="false" customHeight="false" outlineLevel="0" collapsed="false">
      <c r="A41" s="3" t="s">
        <v>83</v>
      </c>
      <c r="B41" s="4" t="n">
        <v>45474</v>
      </c>
      <c r="C41" s="5" t="s">
        <v>41</v>
      </c>
      <c r="D41" s="5" t="s">
        <v>42</v>
      </c>
      <c r="E41" s="5" t="s">
        <v>30</v>
      </c>
      <c r="F41" s="5" t="s">
        <v>76</v>
      </c>
      <c r="G41" s="6" t="n">
        <v>6</v>
      </c>
      <c r="H41" s="7" t="n">
        <v>499</v>
      </c>
      <c r="I41" s="7" t="n">
        <f aca="false">G41*H41</f>
        <v>2994</v>
      </c>
      <c r="J41" s="7" t="n">
        <f aca="false">G41*289.42</f>
        <v>1736.52</v>
      </c>
      <c r="K41" s="7" t="n">
        <f aca="false">I41-J41</f>
        <v>1257.48</v>
      </c>
    </row>
    <row r="42" customFormat="false" ht="15" hidden="false" customHeight="false" outlineLevel="0" collapsed="false">
      <c r="A42" s="8" t="s">
        <v>84</v>
      </c>
      <c r="B42" s="9" t="n">
        <v>45650</v>
      </c>
      <c r="C42" s="10" t="s">
        <v>41</v>
      </c>
      <c r="D42" s="10" t="s">
        <v>49</v>
      </c>
      <c r="E42" s="10" t="s">
        <v>30</v>
      </c>
      <c r="F42" s="10" t="s">
        <v>31</v>
      </c>
      <c r="G42" s="11" t="n">
        <v>14</v>
      </c>
      <c r="H42" s="12" t="n">
        <v>799</v>
      </c>
      <c r="I42" s="12" t="n">
        <f aca="false">G42*H42</f>
        <v>11186</v>
      </c>
      <c r="J42" s="12" t="n">
        <f aca="false">G42*463.42</f>
        <v>6487.88</v>
      </c>
      <c r="K42" s="12" t="n">
        <f aca="false">I42-J42</f>
        <v>4698.12</v>
      </c>
    </row>
    <row r="43" customFormat="false" ht="15" hidden="false" customHeight="false" outlineLevel="0" collapsed="false">
      <c r="A43" s="3" t="s">
        <v>85</v>
      </c>
      <c r="B43" s="4" t="n">
        <v>45384</v>
      </c>
      <c r="C43" s="5" t="s">
        <v>25</v>
      </c>
      <c r="D43" s="5" t="s">
        <v>26</v>
      </c>
      <c r="E43" s="5" t="s">
        <v>27</v>
      </c>
      <c r="F43" s="5" t="s">
        <v>66</v>
      </c>
      <c r="G43" s="6" t="n">
        <v>10</v>
      </c>
      <c r="H43" s="7" t="n">
        <v>249</v>
      </c>
      <c r="I43" s="7" t="n">
        <f aca="false">G43*H43</f>
        <v>2490</v>
      </c>
      <c r="J43" s="7" t="n">
        <f aca="false">G43*136.95</f>
        <v>1369.5</v>
      </c>
      <c r="K43" s="7" t="n">
        <f aca="false">I43-J43</f>
        <v>1120.5</v>
      </c>
    </row>
    <row r="44" customFormat="false" ht="15" hidden="false" customHeight="false" outlineLevel="0" collapsed="false">
      <c r="A44" s="8" t="s">
        <v>86</v>
      </c>
      <c r="B44" s="9" t="n">
        <v>45581</v>
      </c>
      <c r="C44" s="10" t="s">
        <v>25</v>
      </c>
      <c r="D44" s="10" t="s">
        <v>59</v>
      </c>
      <c r="E44" s="10" t="s">
        <v>15</v>
      </c>
      <c r="F44" s="10" t="s">
        <v>16</v>
      </c>
      <c r="G44" s="11" t="n">
        <v>2</v>
      </c>
      <c r="H44" s="12" t="n">
        <v>79</v>
      </c>
      <c r="I44" s="12" t="n">
        <f aca="false">G44*H44</f>
        <v>158</v>
      </c>
      <c r="J44" s="12" t="n">
        <f aca="false">G44*35.55</f>
        <v>71.1</v>
      </c>
      <c r="K44" s="12" t="n">
        <f aca="false">I44-J44</f>
        <v>86.9</v>
      </c>
    </row>
    <row r="45" customFormat="false" ht="15" hidden="false" customHeight="false" outlineLevel="0" collapsed="false">
      <c r="A45" s="3" t="s">
        <v>87</v>
      </c>
      <c r="B45" s="4" t="n">
        <v>45354</v>
      </c>
      <c r="C45" s="5" t="s">
        <v>25</v>
      </c>
      <c r="D45" s="5" t="s">
        <v>59</v>
      </c>
      <c r="E45" s="5" t="s">
        <v>35</v>
      </c>
      <c r="F45" s="5" t="s">
        <v>39</v>
      </c>
      <c r="G45" s="6" t="n">
        <v>3</v>
      </c>
      <c r="H45" s="7" t="n">
        <v>1799</v>
      </c>
      <c r="I45" s="7" t="n">
        <f aca="false">G45*H45</f>
        <v>5397</v>
      </c>
      <c r="J45" s="7" t="n">
        <f aca="false">G45*1079.4</f>
        <v>3238.2</v>
      </c>
      <c r="K45" s="7" t="n">
        <f aca="false">I45-J45</f>
        <v>2158.8</v>
      </c>
    </row>
    <row r="46" customFormat="false" ht="15" hidden="false" customHeight="false" outlineLevel="0" collapsed="false">
      <c r="A46" s="8" t="s">
        <v>88</v>
      </c>
      <c r="B46" s="9" t="n">
        <v>45573</v>
      </c>
      <c r="C46" s="10" t="s">
        <v>25</v>
      </c>
      <c r="D46" s="10" t="s">
        <v>59</v>
      </c>
      <c r="E46" s="10" t="s">
        <v>27</v>
      </c>
      <c r="F46" s="10" t="s">
        <v>28</v>
      </c>
      <c r="G46" s="11" t="n">
        <v>4</v>
      </c>
      <c r="H46" s="12" t="n">
        <v>549</v>
      </c>
      <c r="I46" s="12" t="n">
        <f aca="false">G46*H46</f>
        <v>2196</v>
      </c>
      <c r="J46" s="12" t="n">
        <f aca="false">G46*301.95</f>
        <v>1207.8</v>
      </c>
      <c r="K46" s="12" t="n">
        <f aca="false">I46-J46</f>
        <v>988.2</v>
      </c>
    </row>
    <row r="47" customFormat="false" ht="15" hidden="false" customHeight="false" outlineLevel="0" collapsed="false">
      <c r="A47" s="3" t="s">
        <v>89</v>
      </c>
      <c r="B47" s="4" t="n">
        <v>45615</v>
      </c>
      <c r="C47" s="5" t="s">
        <v>25</v>
      </c>
      <c r="D47" s="5" t="s">
        <v>59</v>
      </c>
      <c r="E47" s="5" t="s">
        <v>18</v>
      </c>
      <c r="F47" s="5" t="s">
        <v>50</v>
      </c>
      <c r="G47" s="6" t="n">
        <v>14</v>
      </c>
      <c r="H47" s="7" t="n">
        <v>149</v>
      </c>
      <c r="I47" s="7" t="n">
        <f aca="false">G47*H47</f>
        <v>2086</v>
      </c>
      <c r="J47" s="7" t="n">
        <f aca="false">G47*29.8</f>
        <v>417.2</v>
      </c>
      <c r="K47" s="7" t="n">
        <f aca="false">I47-J47</f>
        <v>1668.8</v>
      </c>
    </row>
    <row r="48" customFormat="false" ht="15" hidden="false" customHeight="false" outlineLevel="0" collapsed="false">
      <c r="A48" s="8" t="s">
        <v>90</v>
      </c>
      <c r="B48" s="9" t="n">
        <v>45391</v>
      </c>
      <c r="C48" s="10" t="s">
        <v>25</v>
      </c>
      <c r="D48" s="10" t="s">
        <v>26</v>
      </c>
      <c r="E48" s="10" t="s">
        <v>15</v>
      </c>
      <c r="F48" s="10" t="s">
        <v>16</v>
      </c>
      <c r="G48" s="11" t="n">
        <v>11</v>
      </c>
      <c r="H48" s="12" t="n">
        <v>79</v>
      </c>
      <c r="I48" s="12" t="n">
        <f aca="false">G48*H48</f>
        <v>869</v>
      </c>
      <c r="J48" s="12" t="n">
        <f aca="false">G48*35.55</f>
        <v>391.05</v>
      </c>
      <c r="K48" s="12" t="n">
        <f aca="false">I48-J48</f>
        <v>477.95</v>
      </c>
    </row>
    <row r="49" customFormat="false" ht="15" hidden="false" customHeight="false" outlineLevel="0" collapsed="false">
      <c r="A49" s="3" t="s">
        <v>91</v>
      </c>
      <c r="B49" s="4" t="n">
        <v>45323</v>
      </c>
      <c r="C49" s="5" t="s">
        <v>41</v>
      </c>
      <c r="D49" s="5" t="s">
        <v>42</v>
      </c>
      <c r="E49" s="5" t="s">
        <v>15</v>
      </c>
      <c r="F49" s="5" t="s">
        <v>46</v>
      </c>
      <c r="G49" s="6" t="n">
        <v>11</v>
      </c>
      <c r="H49" s="7" t="n">
        <v>59</v>
      </c>
      <c r="I49" s="7" t="n">
        <f aca="false">G49*H49</f>
        <v>649</v>
      </c>
      <c r="J49" s="7" t="n">
        <f aca="false">G49*26.55</f>
        <v>292.05</v>
      </c>
      <c r="K49" s="7" t="n">
        <f aca="false">I49-J49</f>
        <v>356.95</v>
      </c>
    </row>
    <row r="50" customFormat="false" ht="15" hidden="false" customHeight="false" outlineLevel="0" collapsed="false">
      <c r="A50" s="8" t="s">
        <v>92</v>
      </c>
      <c r="B50" s="9" t="n">
        <v>45544</v>
      </c>
      <c r="C50" s="10" t="s">
        <v>41</v>
      </c>
      <c r="D50" s="10" t="s">
        <v>42</v>
      </c>
      <c r="E50" s="10" t="s">
        <v>35</v>
      </c>
      <c r="F50" s="10" t="s">
        <v>39</v>
      </c>
      <c r="G50" s="11" t="n">
        <v>7</v>
      </c>
      <c r="H50" s="12" t="n">
        <v>1799</v>
      </c>
      <c r="I50" s="12" t="n">
        <f aca="false">G50*H50</f>
        <v>12593</v>
      </c>
      <c r="J50" s="12" t="n">
        <f aca="false">G50*1079.4</f>
        <v>7555.8</v>
      </c>
      <c r="K50" s="12" t="n">
        <f aca="false">I50-J50</f>
        <v>5037.2</v>
      </c>
    </row>
    <row r="51" customFormat="false" ht="15" hidden="false" customHeight="false" outlineLevel="0" collapsed="false">
      <c r="A51" s="3" t="s">
        <v>93</v>
      </c>
      <c r="B51" s="4" t="n">
        <v>45418</v>
      </c>
      <c r="C51" s="5" t="s">
        <v>21</v>
      </c>
      <c r="D51" s="5" t="s">
        <v>75</v>
      </c>
      <c r="E51" s="5" t="s">
        <v>35</v>
      </c>
      <c r="F51" s="5" t="s">
        <v>57</v>
      </c>
      <c r="G51" s="6" t="n">
        <v>12</v>
      </c>
      <c r="H51" s="7" t="n">
        <v>899</v>
      </c>
      <c r="I51" s="7" t="n">
        <f aca="false">G51*H51</f>
        <v>10788</v>
      </c>
      <c r="J51" s="7" t="n">
        <f aca="false">G51*539.4</f>
        <v>6472.8</v>
      </c>
      <c r="K51" s="7" t="n">
        <f aca="false">I51-J51</f>
        <v>4315.2</v>
      </c>
    </row>
    <row r="52" customFormat="false" ht="15" hidden="false" customHeight="false" outlineLevel="0" collapsed="false">
      <c r="A52" s="8" t="s">
        <v>94</v>
      </c>
      <c r="B52" s="9" t="n">
        <v>45313</v>
      </c>
      <c r="C52" s="10" t="s">
        <v>41</v>
      </c>
      <c r="D52" s="10" t="s">
        <v>49</v>
      </c>
      <c r="E52" s="10" t="s">
        <v>18</v>
      </c>
      <c r="F52" s="10" t="s">
        <v>23</v>
      </c>
      <c r="G52" s="11" t="n">
        <v>17</v>
      </c>
      <c r="H52" s="12" t="n">
        <v>119</v>
      </c>
      <c r="I52" s="12" t="n">
        <f aca="false">G52*H52</f>
        <v>2023</v>
      </c>
      <c r="J52" s="12" t="n">
        <f aca="false">G52*23.8</f>
        <v>404.6</v>
      </c>
      <c r="K52" s="12" t="n">
        <f aca="false">I52-J52</f>
        <v>1618.4</v>
      </c>
    </row>
    <row r="53" customFormat="false" ht="15" hidden="false" customHeight="false" outlineLevel="0" collapsed="false">
      <c r="A53" s="3" t="s">
        <v>95</v>
      </c>
      <c r="B53" s="4" t="n">
        <v>45326</v>
      </c>
      <c r="C53" s="5" t="s">
        <v>25</v>
      </c>
      <c r="D53" s="5" t="s">
        <v>26</v>
      </c>
      <c r="E53" s="5" t="s">
        <v>35</v>
      </c>
      <c r="F53" s="5" t="s">
        <v>57</v>
      </c>
      <c r="G53" s="6" t="n">
        <v>9</v>
      </c>
      <c r="H53" s="7" t="n">
        <v>899</v>
      </c>
      <c r="I53" s="7" t="n">
        <f aca="false">G53*H53</f>
        <v>8091</v>
      </c>
      <c r="J53" s="7" t="n">
        <f aca="false">G53*539.4</f>
        <v>4854.6</v>
      </c>
      <c r="K53" s="7" t="n">
        <f aca="false">I53-J53</f>
        <v>3236.4</v>
      </c>
    </row>
    <row r="54" customFormat="false" ht="15" hidden="false" customHeight="false" outlineLevel="0" collapsed="false">
      <c r="A54" s="8" t="s">
        <v>96</v>
      </c>
      <c r="B54" s="9" t="n">
        <v>45405</v>
      </c>
      <c r="C54" s="10" t="s">
        <v>25</v>
      </c>
      <c r="D54" s="10" t="s">
        <v>59</v>
      </c>
      <c r="E54" s="10" t="s">
        <v>15</v>
      </c>
      <c r="F54" s="10" t="s">
        <v>46</v>
      </c>
      <c r="G54" s="11" t="n">
        <v>20</v>
      </c>
      <c r="H54" s="12" t="n">
        <v>59</v>
      </c>
      <c r="I54" s="12" t="n">
        <f aca="false">G54*H54</f>
        <v>1180</v>
      </c>
      <c r="J54" s="12" t="n">
        <f aca="false">G54*26.55</f>
        <v>531</v>
      </c>
      <c r="K54" s="12" t="n">
        <f aca="false">I54-J54</f>
        <v>649</v>
      </c>
    </row>
    <row r="55" customFormat="false" ht="15" hidden="false" customHeight="false" outlineLevel="0" collapsed="false">
      <c r="A55" s="3" t="s">
        <v>97</v>
      </c>
      <c r="B55" s="4" t="n">
        <v>45440</v>
      </c>
      <c r="C55" s="5" t="s">
        <v>33</v>
      </c>
      <c r="D55" s="5" t="s">
        <v>34</v>
      </c>
      <c r="E55" s="5" t="s">
        <v>15</v>
      </c>
      <c r="F55" s="5" t="s">
        <v>69</v>
      </c>
      <c r="G55" s="6" t="n">
        <v>16</v>
      </c>
      <c r="H55" s="7" t="n">
        <v>199</v>
      </c>
      <c r="I55" s="7" t="n">
        <f aca="false">G55*H55</f>
        <v>3184</v>
      </c>
      <c r="J55" s="7" t="n">
        <f aca="false">G55*89.55</f>
        <v>1432.8</v>
      </c>
      <c r="K55" s="7" t="n">
        <f aca="false">I55-J55</f>
        <v>1751.2</v>
      </c>
    </row>
    <row r="56" customFormat="false" ht="15" hidden="false" customHeight="false" outlineLevel="0" collapsed="false">
      <c r="A56" s="8" t="s">
        <v>98</v>
      </c>
      <c r="B56" s="9" t="n">
        <v>45302</v>
      </c>
      <c r="C56" s="10" t="s">
        <v>13</v>
      </c>
      <c r="D56" s="10" t="s">
        <v>14</v>
      </c>
      <c r="E56" s="10" t="s">
        <v>30</v>
      </c>
      <c r="F56" s="10" t="s">
        <v>31</v>
      </c>
      <c r="G56" s="11" t="n">
        <v>2</v>
      </c>
      <c r="H56" s="12" t="n">
        <v>799</v>
      </c>
      <c r="I56" s="12" t="n">
        <f aca="false">G56*H56</f>
        <v>1598</v>
      </c>
      <c r="J56" s="12" t="n">
        <f aca="false">G56*463.42</f>
        <v>926.84</v>
      </c>
      <c r="K56" s="12" t="n">
        <f aca="false">I56-J56</f>
        <v>671.16</v>
      </c>
    </row>
    <row r="57" customFormat="false" ht="15" hidden="false" customHeight="false" outlineLevel="0" collapsed="false">
      <c r="A57" s="3" t="s">
        <v>99</v>
      </c>
      <c r="B57" s="4" t="n">
        <v>45558</v>
      </c>
      <c r="C57" s="5" t="s">
        <v>21</v>
      </c>
      <c r="D57" s="5" t="s">
        <v>75</v>
      </c>
      <c r="E57" s="5" t="s">
        <v>27</v>
      </c>
      <c r="F57" s="5" t="s">
        <v>100</v>
      </c>
      <c r="G57" s="6" t="n">
        <v>15</v>
      </c>
      <c r="H57" s="7" t="n">
        <v>199</v>
      </c>
      <c r="I57" s="7" t="n">
        <f aca="false">G57*H57</f>
        <v>2985</v>
      </c>
      <c r="J57" s="7" t="n">
        <f aca="false">G57*109.45</f>
        <v>1641.75</v>
      </c>
      <c r="K57" s="7" t="n">
        <f aca="false">I57-J57</f>
        <v>1343.25</v>
      </c>
    </row>
    <row r="58" customFormat="false" ht="15" hidden="false" customHeight="false" outlineLevel="0" collapsed="false">
      <c r="A58" s="8" t="s">
        <v>101</v>
      </c>
      <c r="B58" s="9" t="n">
        <v>45537</v>
      </c>
      <c r="C58" s="10" t="s">
        <v>41</v>
      </c>
      <c r="D58" s="10" t="s">
        <v>42</v>
      </c>
      <c r="E58" s="10" t="s">
        <v>35</v>
      </c>
      <c r="F58" s="10" t="s">
        <v>57</v>
      </c>
      <c r="G58" s="11" t="n">
        <v>5</v>
      </c>
      <c r="H58" s="12" t="n">
        <v>899</v>
      </c>
      <c r="I58" s="12" t="n">
        <f aca="false">G58*H58</f>
        <v>4495</v>
      </c>
      <c r="J58" s="12" t="n">
        <f aca="false">G58*539.4</f>
        <v>2697</v>
      </c>
      <c r="K58" s="12" t="n">
        <f aca="false">I58-J58</f>
        <v>1798</v>
      </c>
    </row>
    <row r="59" customFormat="false" ht="15" hidden="false" customHeight="false" outlineLevel="0" collapsed="false">
      <c r="A59" s="3" t="s">
        <v>102</v>
      </c>
      <c r="B59" s="4" t="n">
        <v>45424</v>
      </c>
      <c r="C59" s="5" t="s">
        <v>33</v>
      </c>
      <c r="D59" s="5" t="s">
        <v>34</v>
      </c>
      <c r="E59" s="5" t="s">
        <v>30</v>
      </c>
      <c r="F59" s="5" t="s">
        <v>76</v>
      </c>
      <c r="G59" s="6" t="n">
        <v>2</v>
      </c>
      <c r="H59" s="7" t="n">
        <v>499</v>
      </c>
      <c r="I59" s="7" t="n">
        <f aca="false">G59*H59</f>
        <v>998</v>
      </c>
      <c r="J59" s="7" t="n">
        <f aca="false">G59*289.42</f>
        <v>578.84</v>
      </c>
      <c r="K59" s="7" t="n">
        <f aca="false">I59-J59</f>
        <v>419.16</v>
      </c>
    </row>
    <row r="60" customFormat="false" ht="15" hidden="false" customHeight="false" outlineLevel="0" collapsed="false">
      <c r="A60" s="8" t="s">
        <v>103</v>
      </c>
      <c r="B60" s="9" t="n">
        <v>45600</v>
      </c>
      <c r="C60" s="10" t="s">
        <v>13</v>
      </c>
      <c r="D60" s="10" t="s">
        <v>52</v>
      </c>
      <c r="E60" s="10" t="s">
        <v>27</v>
      </c>
      <c r="F60" s="10" t="s">
        <v>100</v>
      </c>
      <c r="G60" s="11" t="n">
        <v>8</v>
      </c>
      <c r="H60" s="12" t="n">
        <v>199</v>
      </c>
      <c r="I60" s="12" t="n">
        <f aca="false">G60*H60</f>
        <v>1592</v>
      </c>
      <c r="J60" s="12" t="n">
        <f aca="false">G60*109.45</f>
        <v>875.6</v>
      </c>
      <c r="K60" s="12" t="n">
        <f aca="false">I60-J60</f>
        <v>716.4</v>
      </c>
    </row>
    <row r="61" customFormat="false" ht="15" hidden="false" customHeight="false" outlineLevel="0" collapsed="false">
      <c r="A61" s="3" t="s">
        <v>104</v>
      </c>
      <c r="B61" s="4" t="n">
        <v>45410</v>
      </c>
      <c r="C61" s="5" t="s">
        <v>33</v>
      </c>
      <c r="D61" s="5" t="s">
        <v>38</v>
      </c>
      <c r="E61" s="5" t="s">
        <v>18</v>
      </c>
      <c r="F61" s="5" t="s">
        <v>23</v>
      </c>
      <c r="G61" s="6" t="n">
        <v>5</v>
      </c>
      <c r="H61" s="7" t="n">
        <v>119</v>
      </c>
      <c r="I61" s="7" t="n">
        <f aca="false">G61*H61</f>
        <v>595</v>
      </c>
      <c r="J61" s="7" t="n">
        <f aca="false">G61*23.8</f>
        <v>119</v>
      </c>
      <c r="K61" s="7" t="n">
        <f aca="false">I61-J61</f>
        <v>476</v>
      </c>
    </row>
    <row r="62" customFormat="false" ht="15" hidden="false" customHeight="false" outlineLevel="0" collapsed="false">
      <c r="A62" s="8" t="s">
        <v>105</v>
      </c>
      <c r="B62" s="9" t="n">
        <v>45637</v>
      </c>
      <c r="C62" s="10" t="s">
        <v>21</v>
      </c>
      <c r="D62" s="10" t="s">
        <v>22</v>
      </c>
      <c r="E62" s="10" t="s">
        <v>30</v>
      </c>
      <c r="F62" s="10" t="s">
        <v>76</v>
      </c>
      <c r="G62" s="11" t="n">
        <v>6</v>
      </c>
      <c r="H62" s="12" t="n">
        <v>499</v>
      </c>
      <c r="I62" s="12" t="n">
        <f aca="false">G62*H62</f>
        <v>2994</v>
      </c>
      <c r="J62" s="12" t="n">
        <f aca="false">G62*289.42</f>
        <v>1736.52</v>
      </c>
      <c r="K62" s="12" t="n">
        <f aca="false">I62-J62</f>
        <v>1257.48</v>
      </c>
    </row>
    <row r="63" customFormat="false" ht="15" hidden="false" customHeight="false" outlineLevel="0" collapsed="false">
      <c r="A63" s="3" t="s">
        <v>106</v>
      </c>
      <c r="B63" s="4" t="n">
        <v>45501</v>
      </c>
      <c r="C63" s="5" t="s">
        <v>41</v>
      </c>
      <c r="D63" s="5" t="s">
        <v>42</v>
      </c>
      <c r="E63" s="5" t="s">
        <v>15</v>
      </c>
      <c r="F63" s="5" t="s">
        <v>16</v>
      </c>
      <c r="G63" s="6" t="n">
        <v>4</v>
      </c>
      <c r="H63" s="7" t="n">
        <v>79</v>
      </c>
      <c r="I63" s="7" t="n">
        <f aca="false">G63*H63</f>
        <v>316</v>
      </c>
      <c r="J63" s="7" t="n">
        <f aca="false">G63*35.55</f>
        <v>142.2</v>
      </c>
      <c r="K63" s="7" t="n">
        <f aca="false">I63-J63</f>
        <v>173.8</v>
      </c>
    </row>
    <row r="64" customFormat="false" ht="15" hidden="false" customHeight="false" outlineLevel="0" collapsed="false">
      <c r="A64" s="8" t="s">
        <v>107</v>
      </c>
      <c r="B64" s="9" t="n">
        <v>45453</v>
      </c>
      <c r="C64" s="10" t="s">
        <v>13</v>
      </c>
      <c r="D64" s="10" t="s">
        <v>52</v>
      </c>
      <c r="E64" s="10" t="s">
        <v>27</v>
      </c>
      <c r="F64" s="10" t="s">
        <v>66</v>
      </c>
      <c r="G64" s="11" t="n">
        <v>15</v>
      </c>
      <c r="H64" s="12" t="n">
        <v>249</v>
      </c>
      <c r="I64" s="12" t="n">
        <f aca="false">G64*H64</f>
        <v>3735</v>
      </c>
      <c r="J64" s="12" t="n">
        <f aca="false">G64*136.95</f>
        <v>2054.25</v>
      </c>
      <c r="K64" s="12" t="n">
        <f aca="false">I64-J64</f>
        <v>1680.75</v>
      </c>
    </row>
    <row r="65" customFormat="false" ht="15" hidden="false" customHeight="false" outlineLevel="0" collapsed="false">
      <c r="A65" s="3" t="s">
        <v>108</v>
      </c>
      <c r="B65" s="4" t="n">
        <v>45484</v>
      </c>
      <c r="C65" s="5" t="s">
        <v>21</v>
      </c>
      <c r="D65" s="5" t="s">
        <v>22</v>
      </c>
      <c r="E65" s="5" t="s">
        <v>35</v>
      </c>
      <c r="F65" s="5" t="s">
        <v>39</v>
      </c>
      <c r="G65" s="6" t="n">
        <v>7</v>
      </c>
      <c r="H65" s="7" t="n">
        <v>1799</v>
      </c>
      <c r="I65" s="7" t="n">
        <f aca="false">G65*H65</f>
        <v>12593</v>
      </c>
      <c r="J65" s="7" t="n">
        <f aca="false">G65*1079.4</f>
        <v>7555.8</v>
      </c>
      <c r="K65" s="7" t="n">
        <f aca="false">I65-J65</f>
        <v>5037.2</v>
      </c>
    </row>
    <row r="66" customFormat="false" ht="15" hidden="false" customHeight="false" outlineLevel="0" collapsed="false">
      <c r="A66" s="8" t="s">
        <v>109</v>
      </c>
      <c r="B66" s="9" t="n">
        <v>45495</v>
      </c>
      <c r="C66" s="10" t="s">
        <v>33</v>
      </c>
      <c r="D66" s="10" t="s">
        <v>34</v>
      </c>
      <c r="E66" s="10" t="s">
        <v>15</v>
      </c>
      <c r="F66" s="10" t="s">
        <v>46</v>
      </c>
      <c r="G66" s="11" t="n">
        <v>17</v>
      </c>
      <c r="H66" s="12" t="n">
        <v>59</v>
      </c>
      <c r="I66" s="12" t="n">
        <f aca="false">G66*H66</f>
        <v>1003</v>
      </c>
      <c r="J66" s="12" t="n">
        <f aca="false">G66*26.55</f>
        <v>451.35</v>
      </c>
      <c r="K66" s="12" t="n">
        <f aca="false">I66-J66</f>
        <v>551.65</v>
      </c>
    </row>
    <row r="67" customFormat="false" ht="15" hidden="false" customHeight="false" outlineLevel="0" collapsed="false">
      <c r="A67" s="3" t="s">
        <v>110</v>
      </c>
      <c r="B67" s="4" t="n">
        <v>45370</v>
      </c>
      <c r="C67" s="5" t="s">
        <v>25</v>
      </c>
      <c r="D67" s="5" t="s">
        <v>26</v>
      </c>
      <c r="E67" s="5" t="s">
        <v>35</v>
      </c>
      <c r="F67" s="5" t="s">
        <v>57</v>
      </c>
      <c r="G67" s="6" t="n">
        <v>9</v>
      </c>
      <c r="H67" s="7" t="n">
        <v>899</v>
      </c>
      <c r="I67" s="7" t="n">
        <f aca="false">G67*H67</f>
        <v>8091</v>
      </c>
      <c r="J67" s="7" t="n">
        <f aca="false">G67*539.4</f>
        <v>4854.6</v>
      </c>
      <c r="K67" s="7" t="n">
        <f aca="false">I67-J67</f>
        <v>3236.4</v>
      </c>
    </row>
    <row r="68" customFormat="false" ht="15" hidden="false" customHeight="false" outlineLevel="0" collapsed="false">
      <c r="A68" s="8" t="s">
        <v>111</v>
      </c>
      <c r="B68" s="9" t="n">
        <v>45467</v>
      </c>
      <c r="C68" s="10" t="s">
        <v>33</v>
      </c>
      <c r="D68" s="10" t="s">
        <v>34</v>
      </c>
      <c r="E68" s="10" t="s">
        <v>35</v>
      </c>
      <c r="F68" s="10" t="s">
        <v>39</v>
      </c>
      <c r="G68" s="11" t="n">
        <v>14</v>
      </c>
      <c r="H68" s="12" t="n">
        <v>1799</v>
      </c>
      <c r="I68" s="12" t="n">
        <f aca="false">G68*H68</f>
        <v>25186</v>
      </c>
      <c r="J68" s="12" t="n">
        <f aca="false">G68*1079.4</f>
        <v>15111.6</v>
      </c>
      <c r="K68" s="12" t="n">
        <f aca="false">I68-J68</f>
        <v>10074.4</v>
      </c>
    </row>
    <row r="69" customFormat="false" ht="15" hidden="false" customHeight="false" outlineLevel="0" collapsed="false">
      <c r="A69" s="3" t="s">
        <v>112</v>
      </c>
      <c r="B69" s="4" t="n">
        <v>45492</v>
      </c>
      <c r="C69" s="5" t="s">
        <v>33</v>
      </c>
      <c r="D69" s="5" t="s">
        <v>38</v>
      </c>
      <c r="E69" s="5" t="s">
        <v>18</v>
      </c>
      <c r="F69" s="5" t="s">
        <v>23</v>
      </c>
      <c r="G69" s="6" t="n">
        <v>4</v>
      </c>
      <c r="H69" s="7" t="n">
        <v>119</v>
      </c>
      <c r="I69" s="7" t="n">
        <f aca="false">G69*H69</f>
        <v>476</v>
      </c>
      <c r="J69" s="7" t="n">
        <f aca="false">G69*23.8</f>
        <v>95.2</v>
      </c>
      <c r="K69" s="7" t="n">
        <f aca="false">I69-J69</f>
        <v>380.8</v>
      </c>
    </row>
    <row r="70" customFormat="false" ht="15" hidden="false" customHeight="false" outlineLevel="0" collapsed="false">
      <c r="A70" s="8" t="s">
        <v>113</v>
      </c>
      <c r="B70" s="9" t="n">
        <v>45308</v>
      </c>
      <c r="C70" s="10" t="s">
        <v>21</v>
      </c>
      <c r="D70" s="10" t="s">
        <v>75</v>
      </c>
      <c r="E70" s="10" t="s">
        <v>35</v>
      </c>
      <c r="F70" s="10" t="s">
        <v>39</v>
      </c>
      <c r="G70" s="11" t="n">
        <v>14</v>
      </c>
      <c r="H70" s="12" t="n">
        <v>1799</v>
      </c>
      <c r="I70" s="12" t="n">
        <f aca="false">G70*H70</f>
        <v>25186</v>
      </c>
      <c r="J70" s="12" t="n">
        <f aca="false">G70*1079.4</f>
        <v>15111.6</v>
      </c>
      <c r="K70" s="12" t="n">
        <f aca="false">I70-J70</f>
        <v>10074.4</v>
      </c>
    </row>
    <row r="71" customFormat="false" ht="15" hidden="false" customHeight="false" outlineLevel="0" collapsed="false">
      <c r="A71" s="3" t="s">
        <v>114</v>
      </c>
      <c r="B71" s="4" t="n">
        <v>45607</v>
      </c>
      <c r="C71" s="5" t="s">
        <v>25</v>
      </c>
      <c r="D71" s="5" t="s">
        <v>59</v>
      </c>
      <c r="E71" s="5" t="s">
        <v>15</v>
      </c>
      <c r="F71" s="5" t="s">
        <v>46</v>
      </c>
      <c r="G71" s="6" t="n">
        <v>3</v>
      </c>
      <c r="H71" s="7" t="n">
        <v>59</v>
      </c>
      <c r="I71" s="7" t="n">
        <f aca="false">G71*H71</f>
        <v>177</v>
      </c>
      <c r="J71" s="7" t="n">
        <f aca="false">G71*26.55</f>
        <v>79.65</v>
      </c>
      <c r="K71" s="7" t="n">
        <f aca="false">I71-J71</f>
        <v>97.35</v>
      </c>
    </row>
    <row r="72" customFormat="false" ht="15" hidden="false" customHeight="false" outlineLevel="0" collapsed="false">
      <c r="A72" s="8" t="s">
        <v>115</v>
      </c>
      <c r="B72" s="9" t="n">
        <v>45545</v>
      </c>
      <c r="C72" s="10" t="s">
        <v>25</v>
      </c>
      <c r="D72" s="10" t="s">
        <v>26</v>
      </c>
      <c r="E72" s="10" t="s">
        <v>35</v>
      </c>
      <c r="F72" s="10" t="s">
        <v>39</v>
      </c>
      <c r="G72" s="11" t="n">
        <v>10</v>
      </c>
      <c r="H72" s="12" t="n">
        <v>1799</v>
      </c>
      <c r="I72" s="12" t="n">
        <f aca="false">G72*H72</f>
        <v>17990</v>
      </c>
      <c r="J72" s="12" t="n">
        <f aca="false">G72*1079.4</f>
        <v>10794</v>
      </c>
      <c r="K72" s="12" t="n">
        <f aca="false">I72-J72</f>
        <v>7196</v>
      </c>
    </row>
    <row r="73" customFormat="false" ht="15" hidden="false" customHeight="false" outlineLevel="0" collapsed="false">
      <c r="A73" s="3" t="s">
        <v>116</v>
      </c>
      <c r="B73" s="4" t="n">
        <v>45540</v>
      </c>
      <c r="C73" s="5" t="s">
        <v>41</v>
      </c>
      <c r="D73" s="5" t="s">
        <v>49</v>
      </c>
      <c r="E73" s="5" t="s">
        <v>30</v>
      </c>
      <c r="F73" s="5" t="s">
        <v>117</v>
      </c>
      <c r="G73" s="6" t="n">
        <v>10</v>
      </c>
      <c r="H73" s="7" t="n">
        <v>329</v>
      </c>
      <c r="I73" s="7" t="n">
        <f aca="false">G73*H73</f>
        <v>3290</v>
      </c>
      <c r="J73" s="7" t="n">
        <f aca="false">G73*190.82</f>
        <v>1908.2</v>
      </c>
      <c r="K73" s="7" t="n">
        <f aca="false">I73-J73</f>
        <v>1381.8</v>
      </c>
    </row>
    <row r="74" customFormat="false" ht="15" hidden="false" customHeight="false" outlineLevel="0" collapsed="false">
      <c r="A74" s="8" t="s">
        <v>118</v>
      </c>
      <c r="B74" s="9" t="n">
        <v>45584</v>
      </c>
      <c r="C74" s="10" t="s">
        <v>21</v>
      </c>
      <c r="D74" s="10" t="s">
        <v>75</v>
      </c>
      <c r="E74" s="10" t="s">
        <v>30</v>
      </c>
      <c r="F74" s="10" t="s">
        <v>117</v>
      </c>
      <c r="G74" s="11" t="n">
        <v>6</v>
      </c>
      <c r="H74" s="12" t="n">
        <v>329</v>
      </c>
      <c r="I74" s="12" t="n">
        <f aca="false">G74*H74</f>
        <v>1974</v>
      </c>
      <c r="J74" s="12" t="n">
        <f aca="false">G74*190.82</f>
        <v>1144.92</v>
      </c>
      <c r="K74" s="12" t="n">
        <f aca="false">I74-J74</f>
        <v>829.08</v>
      </c>
    </row>
    <row r="75" customFormat="false" ht="15" hidden="false" customHeight="false" outlineLevel="0" collapsed="false">
      <c r="A75" s="3" t="s">
        <v>119</v>
      </c>
      <c r="B75" s="4" t="n">
        <v>45419</v>
      </c>
      <c r="C75" s="5" t="s">
        <v>33</v>
      </c>
      <c r="D75" s="5" t="s">
        <v>38</v>
      </c>
      <c r="E75" s="5" t="s">
        <v>18</v>
      </c>
      <c r="F75" s="5" t="s">
        <v>50</v>
      </c>
      <c r="G75" s="6" t="n">
        <v>10</v>
      </c>
      <c r="H75" s="7" t="n">
        <v>149</v>
      </c>
      <c r="I75" s="7" t="n">
        <f aca="false">G75*H75</f>
        <v>1490</v>
      </c>
      <c r="J75" s="7" t="n">
        <f aca="false">G75*29.8</f>
        <v>298</v>
      </c>
      <c r="K75" s="7" t="n">
        <f aca="false">I75-J75</f>
        <v>1192</v>
      </c>
    </row>
    <row r="76" customFormat="false" ht="15" hidden="false" customHeight="false" outlineLevel="0" collapsed="false">
      <c r="A76" s="8" t="s">
        <v>120</v>
      </c>
      <c r="B76" s="9" t="n">
        <v>45603</v>
      </c>
      <c r="C76" s="10" t="s">
        <v>41</v>
      </c>
      <c r="D76" s="10" t="s">
        <v>49</v>
      </c>
      <c r="E76" s="10" t="s">
        <v>30</v>
      </c>
      <c r="F76" s="10" t="s">
        <v>31</v>
      </c>
      <c r="G76" s="11" t="n">
        <v>15</v>
      </c>
      <c r="H76" s="12" t="n">
        <v>799</v>
      </c>
      <c r="I76" s="12" t="n">
        <f aca="false">G76*H76</f>
        <v>11985</v>
      </c>
      <c r="J76" s="12" t="n">
        <f aca="false">G76*463.42</f>
        <v>6951.3</v>
      </c>
      <c r="K76" s="12" t="n">
        <f aca="false">I76-J76</f>
        <v>5033.7</v>
      </c>
    </row>
    <row r="77" customFormat="false" ht="15" hidden="false" customHeight="false" outlineLevel="0" collapsed="false">
      <c r="A77" s="3" t="s">
        <v>121</v>
      </c>
      <c r="B77" s="4" t="n">
        <v>45429</v>
      </c>
      <c r="C77" s="5" t="s">
        <v>25</v>
      </c>
      <c r="D77" s="5" t="s">
        <v>26</v>
      </c>
      <c r="E77" s="5" t="s">
        <v>27</v>
      </c>
      <c r="F77" s="5" t="s">
        <v>100</v>
      </c>
      <c r="G77" s="6" t="n">
        <v>3</v>
      </c>
      <c r="H77" s="7" t="n">
        <v>199</v>
      </c>
      <c r="I77" s="7" t="n">
        <f aca="false">G77*H77</f>
        <v>597</v>
      </c>
      <c r="J77" s="7" t="n">
        <f aca="false">G77*109.45</f>
        <v>328.35</v>
      </c>
      <c r="K77" s="7" t="n">
        <f aca="false">I77-J77</f>
        <v>268.65</v>
      </c>
    </row>
    <row r="78" customFormat="false" ht="15" hidden="false" customHeight="false" outlineLevel="0" collapsed="false">
      <c r="A78" s="8" t="s">
        <v>122</v>
      </c>
      <c r="B78" s="9" t="n">
        <v>45408</v>
      </c>
      <c r="C78" s="10" t="s">
        <v>25</v>
      </c>
      <c r="D78" s="10" t="s">
        <v>26</v>
      </c>
      <c r="E78" s="10" t="s">
        <v>35</v>
      </c>
      <c r="F78" s="10" t="s">
        <v>57</v>
      </c>
      <c r="G78" s="11" t="n">
        <v>10</v>
      </c>
      <c r="H78" s="12" t="n">
        <v>899</v>
      </c>
      <c r="I78" s="12" t="n">
        <f aca="false">G78*H78</f>
        <v>8990</v>
      </c>
      <c r="J78" s="12" t="n">
        <f aca="false">G78*539.4</f>
        <v>5394</v>
      </c>
      <c r="K78" s="12" t="n">
        <f aca="false">I78-J78</f>
        <v>3596</v>
      </c>
    </row>
    <row r="79" customFormat="false" ht="15" hidden="false" customHeight="false" outlineLevel="0" collapsed="false">
      <c r="A79" s="3" t="s">
        <v>123</v>
      </c>
      <c r="B79" s="4" t="n">
        <v>45524</v>
      </c>
      <c r="C79" s="5" t="s">
        <v>21</v>
      </c>
      <c r="D79" s="5" t="s">
        <v>22</v>
      </c>
      <c r="E79" s="5" t="s">
        <v>35</v>
      </c>
      <c r="F79" s="5" t="s">
        <v>57</v>
      </c>
      <c r="G79" s="6" t="n">
        <v>8</v>
      </c>
      <c r="H79" s="7" t="n">
        <v>899</v>
      </c>
      <c r="I79" s="7" t="n">
        <f aca="false">G79*H79</f>
        <v>7192</v>
      </c>
      <c r="J79" s="7" t="n">
        <f aca="false">G79*539.4</f>
        <v>4315.2</v>
      </c>
      <c r="K79" s="7" t="n">
        <f aca="false">I79-J79</f>
        <v>2876.8</v>
      </c>
    </row>
    <row r="80" customFormat="false" ht="15" hidden="false" customHeight="false" outlineLevel="0" collapsed="false">
      <c r="A80" s="8" t="s">
        <v>124</v>
      </c>
      <c r="B80" s="9" t="n">
        <v>45405</v>
      </c>
      <c r="C80" s="10" t="s">
        <v>13</v>
      </c>
      <c r="D80" s="10" t="s">
        <v>52</v>
      </c>
      <c r="E80" s="10" t="s">
        <v>30</v>
      </c>
      <c r="F80" s="10" t="s">
        <v>117</v>
      </c>
      <c r="G80" s="11" t="n">
        <v>19</v>
      </c>
      <c r="H80" s="12" t="n">
        <v>329</v>
      </c>
      <c r="I80" s="12" t="n">
        <f aca="false">G80*H80</f>
        <v>6251</v>
      </c>
      <c r="J80" s="12" t="n">
        <f aca="false">G80*190.82</f>
        <v>3625.58</v>
      </c>
      <c r="K80" s="12" t="n">
        <f aca="false">I80-J80</f>
        <v>2625.42</v>
      </c>
    </row>
    <row r="81" customFormat="false" ht="15" hidden="false" customHeight="false" outlineLevel="0" collapsed="false">
      <c r="A81" s="3" t="s">
        <v>125</v>
      </c>
      <c r="B81" s="4" t="n">
        <v>45619</v>
      </c>
      <c r="C81" s="5" t="s">
        <v>41</v>
      </c>
      <c r="D81" s="5" t="s">
        <v>49</v>
      </c>
      <c r="E81" s="5" t="s">
        <v>30</v>
      </c>
      <c r="F81" s="5" t="s">
        <v>76</v>
      </c>
      <c r="G81" s="6" t="n">
        <v>5</v>
      </c>
      <c r="H81" s="7" t="n">
        <v>499</v>
      </c>
      <c r="I81" s="7" t="n">
        <f aca="false">G81*H81</f>
        <v>2495</v>
      </c>
      <c r="J81" s="7" t="n">
        <f aca="false">G81*289.42</f>
        <v>1447.1</v>
      </c>
      <c r="K81" s="7" t="n">
        <f aca="false">I81-J81</f>
        <v>1047.9</v>
      </c>
    </row>
    <row r="82" customFormat="false" ht="15" hidden="false" customHeight="false" outlineLevel="0" collapsed="false">
      <c r="A82" s="8" t="s">
        <v>126</v>
      </c>
      <c r="B82" s="9" t="n">
        <v>45643</v>
      </c>
      <c r="C82" s="10" t="s">
        <v>13</v>
      </c>
      <c r="D82" s="10" t="s">
        <v>14</v>
      </c>
      <c r="E82" s="10" t="s">
        <v>30</v>
      </c>
      <c r="F82" s="10" t="s">
        <v>76</v>
      </c>
      <c r="G82" s="11" t="n">
        <v>6</v>
      </c>
      <c r="H82" s="12" t="n">
        <v>499</v>
      </c>
      <c r="I82" s="12" t="n">
        <f aca="false">G82*H82</f>
        <v>2994</v>
      </c>
      <c r="J82" s="12" t="n">
        <f aca="false">G82*289.42</f>
        <v>1736.52</v>
      </c>
      <c r="K82" s="12" t="n">
        <f aca="false">I82-J82</f>
        <v>1257.48</v>
      </c>
    </row>
    <row r="83" customFormat="false" ht="15" hidden="false" customHeight="false" outlineLevel="0" collapsed="false">
      <c r="A83" s="3" t="s">
        <v>127</v>
      </c>
      <c r="B83" s="4" t="n">
        <v>45509</v>
      </c>
      <c r="C83" s="5" t="s">
        <v>41</v>
      </c>
      <c r="D83" s="5" t="s">
        <v>42</v>
      </c>
      <c r="E83" s="5" t="s">
        <v>18</v>
      </c>
      <c r="F83" s="5" t="s">
        <v>50</v>
      </c>
      <c r="G83" s="6" t="n">
        <v>4</v>
      </c>
      <c r="H83" s="7" t="n">
        <v>149</v>
      </c>
      <c r="I83" s="7" t="n">
        <f aca="false">G83*H83</f>
        <v>596</v>
      </c>
      <c r="J83" s="7" t="n">
        <f aca="false">G83*29.8</f>
        <v>119.2</v>
      </c>
      <c r="K83" s="7" t="n">
        <f aca="false">I83-J83</f>
        <v>476.8</v>
      </c>
    </row>
    <row r="84" customFormat="false" ht="15" hidden="false" customHeight="false" outlineLevel="0" collapsed="false">
      <c r="A84" s="8" t="s">
        <v>128</v>
      </c>
      <c r="B84" s="9" t="n">
        <v>45500</v>
      </c>
      <c r="C84" s="10" t="s">
        <v>41</v>
      </c>
      <c r="D84" s="10" t="s">
        <v>49</v>
      </c>
      <c r="E84" s="10" t="s">
        <v>30</v>
      </c>
      <c r="F84" s="10" t="s">
        <v>117</v>
      </c>
      <c r="G84" s="11" t="n">
        <v>17</v>
      </c>
      <c r="H84" s="12" t="n">
        <v>329</v>
      </c>
      <c r="I84" s="12" t="n">
        <f aca="false">G84*H84</f>
        <v>5593</v>
      </c>
      <c r="J84" s="12" t="n">
        <f aca="false">G84*190.82</f>
        <v>3243.94</v>
      </c>
      <c r="K84" s="12" t="n">
        <f aca="false">I84-J84</f>
        <v>2349.06</v>
      </c>
    </row>
    <row r="85" customFormat="false" ht="15" hidden="false" customHeight="false" outlineLevel="0" collapsed="false">
      <c r="A85" s="3" t="s">
        <v>129</v>
      </c>
      <c r="B85" s="4" t="n">
        <v>45513</v>
      </c>
      <c r="C85" s="5" t="s">
        <v>25</v>
      </c>
      <c r="D85" s="5" t="s">
        <v>26</v>
      </c>
      <c r="E85" s="5" t="s">
        <v>27</v>
      </c>
      <c r="F85" s="5" t="s">
        <v>100</v>
      </c>
      <c r="G85" s="6" t="n">
        <v>16</v>
      </c>
      <c r="H85" s="7" t="n">
        <v>199</v>
      </c>
      <c r="I85" s="7" t="n">
        <f aca="false">G85*H85</f>
        <v>3184</v>
      </c>
      <c r="J85" s="7" t="n">
        <f aca="false">G85*109.45</f>
        <v>1751.2</v>
      </c>
      <c r="K85" s="7" t="n">
        <f aca="false">I85-J85</f>
        <v>1432.8</v>
      </c>
    </row>
    <row r="86" customFormat="false" ht="15" hidden="false" customHeight="false" outlineLevel="0" collapsed="false">
      <c r="A86" s="8" t="s">
        <v>130</v>
      </c>
      <c r="B86" s="9" t="n">
        <v>45427</v>
      </c>
      <c r="C86" s="10" t="s">
        <v>21</v>
      </c>
      <c r="D86" s="10" t="s">
        <v>75</v>
      </c>
      <c r="E86" s="10" t="s">
        <v>18</v>
      </c>
      <c r="F86" s="10" t="s">
        <v>19</v>
      </c>
      <c r="G86" s="11" t="n">
        <v>8</v>
      </c>
      <c r="H86" s="12" t="n">
        <v>89</v>
      </c>
      <c r="I86" s="12" t="n">
        <f aca="false">G86*H86</f>
        <v>712</v>
      </c>
      <c r="J86" s="12" t="n">
        <f aca="false">G86*17.8</f>
        <v>142.4</v>
      </c>
      <c r="K86" s="12" t="n">
        <f aca="false">I86-J86</f>
        <v>569.6</v>
      </c>
    </row>
    <row r="87" customFormat="false" ht="15" hidden="false" customHeight="false" outlineLevel="0" collapsed="false">
      <c r="A87" s="3" t="s">
        <v>131</v>
      </c>
      <c r="B87" s="4" t="n">
        <v>45461</v>
      </c>
      <c r="C87" s="5" t="s">
        <v>13</v>
      </c>
      <c r="D87" s="5" t="s">
        <v>52</v>
      </c>
      <c r="E87" s="5" t="s">
        <v>27</v>
      </c>
      <c r="F87" s="5" t="s">
        <v>28</v>
      </c>
      <c r="G87" s="6" t="n">
        <v>11</v>
      </c>
      <c r="H87" s="7" t="n">
        <v>549</v>
      </c>
      <c r="I87" s="7" t="n">
        <f aca="false">G87*H87</f>
        <v>6039</v>
      </c>
      <c r="J87" s="7" t="n">
        <f aca="false">G87*301.95</f>
        <v>3321.45</v>
      </c>
      <c r="K87" s="7" t="n">
        <f aca="false">I87-J87</f>
        <v>2717.55</v>
      </c>
    </row>
    <row r="88" customFormat="false" ht="15" hidden="false" customHeight="false" outlineLevel="0" collapsed="false">
      <c r="A88" s="8" t="s">
        <v>132</v>
      </c>
      <c r="B88" s="9" t="n">
        <v>45631</v>
      </c>
      <c r="C88" s="10" t="s">
        <v>13</v>
      </c>
      <c r="D88" s="10" t="s">
        <v>14</v>
      </c>
      <c r="E88" s="10" t="s">
        <v>27</v>
      </c>
      <c r="F88" s="10" t="s">
        <v>66</v>
      </c>
      <c r="G88" s="11" t="n">
        <v>13</v>
      </c>
      <c r="H88" s="12" t="n">
        <v>249</v>
      </c>
      <c r="I88" s="12" t="n">
        <f aca="false">G88*H88</f>
        <v>3237</v>
      </c>
      <c r="J88" s="12" t="n">
        <f aca="false">G88*136.95</f>
        <v>1780.35</v>
      </c>
      <c r="K88" s="12" t="n">
        <f aca="false">I88-J88</f>
        <v>1456.65</v>
      </c>
    </row>
    <row r="89" customFormat="false" ht="15" hidden="false" customHeight="false" outlineLevel="0" collapsed="false">
      <c r="A89" s="3" t="s">
        <v>133</v>
      </c>
      <c r="B89" s="4" t="n">
        <v>45550</v>
      </c>
      <c r="C89" s="5" t="s">
        <v>21</v>
      </c>
      <c r="D89" s="5" t="s">
        <v>22</v>
      </c>
      <c r="E89" s="5" t="s">
        <v>30</v>
      </c>
      <c r="F89" s="5" t="s">
        <v>31</v>
      </c>
      <c r="G89" s="6" t="n">
        <v>11</v>
      </c>
      <c r="H89" s="7" t="n">
        <v>799</v>
      </c>
      <c r="I89" s="7" t="n">
        <f aca="false">G89*H89</f>
        <v>8789</v>
      </c>
      <c r="J89" s="7" t="n">
        <f aca="false">G89*463.42</f>
        <v>5097.62</v>
      </c>
      <c r="K89" s="7" t="n">
        <f aca="false">I89-J89</f>
        <v>3691.38</v>
      </c>
    </row>
    <row r="90" customFormat="false" ht="15" hidden="false" customHeight="false" outlineLevel="0" collapsed="false">
      <c r="A90" s="8" t="s">
        <v>134</v>
      </c>
      <c r="B90" s="9" t="n">
        <v>45588</v>
      </c>
      <c r="C90" s="10" t="s">
        <v>41</v>
      </c>
      <c r="D90" s="10" t="s">
        <v>42</v>
      </c>
      <c r="E90" s="10" t="s">
        <v>27</v>
      </c>
      <c r="F90" s="10" t="s">
        <v>28</v>
      </c>
      <c r="G90" s="11" t="n">
        <v>13</v>
      </c>
      <c r="H90" s="12" t="n">
        <v>549</v>
      </c>
      <c r="I90" s="12" t="n">
        <f aca="false">G90*H90</f>
        <v>7137</v>
      </c>
      <c r="J90" s="12" t="n">
        <f aca="false">G90*301.95</f>
        <v>3925.35</v>
      </c>
      <c r="K90" s="12" t="n">
        <f aca="false">I90-J90</f>
        <v>3211.65</v>
      </c>
    </row>
    <row r="91" customFormat="false" ht="15" hidden="false" customHeight="false" outlineLevel="0" collapsed="false">
      <c r="A91" s="3" t="s">
        <v>135</v>
      </c>
      <c r="B91" s="4" t="n">
        <v>45437</v>
      </c>
      <c r="C91" s="5" t="s">
        <v>13</v>
      </c>
      <c r="D91" s="5" t="s">
        <v>52</v>
      </c>
      <c r="E91" s="5" t="s">
        <v>30</v>
      </c>
      <c r="F91" s="5" t="s">
        <v>76</v>
      </c>
      <c r="G91" s="6" t="n">
        <v>12</v>
      </c>
      <c r="H91" s="7" t="n">
        <v>499</v>
      </c>
      <c r="I91" s="7" t="n">
        <f aca="false">G91*H91</f>
        <v>5988</v>
      </c>
      <c r="J91" s="7" t="n">
        <f aca="false">G91*289.42</f>
        <v>3473.04</v>
      </c>
      <c r="K91" s="7" t="n">
        <f aca="false">I91-J91</f>
        <v>2514.96</v>
      </c>
    </row>
    <row r="92" customFormat="false" ht="15" hidden="false" customHeight="false" outlineLevel="0" collapsed="false">
      <c r="A92" s="8" t="s">
        <v>136</v>
      </c>
      <c r="B92" s="9" t="n">
        <v>45573</v>
      </c>
      <c r="C92" s="10" t="s">
        <v>41</v>
      </c>
      <c r="D92" s="10" t="s">
        <v>49</v>
      </c>
      <c r="E92" s="10" t="s">
        <v>18</v>
      </c>
      <c r="F92" s="10" t="s">
        <v>23</v>
      </c>
      <c r="G92" s="11" t="n">
        <v>18</v>
      </c>
      <c r="H92" s="12" t="n">
        <v>119</v>
      </c>
      <c r="I92" s="12" t="n">
        <f aca="false">G92*H92</f>
        <v>2142</v>
      </c>
      <c r="J92" s="12" t="n">
        <f aca="false">G92*23.8</f>
        <v>428.4</v>
      </c>
      <c r="K92" s="12" t="n">
        <f aca="false">I92-J92</f>
        <v>1713.6</v>
      </c>
    </row>
    <row r="93" customFormat="false" ht="15" hidden="false" customHeight="false" outlineLevel="0" collapsed="false">
      <c r="A93" s="3" t="s">
        <v>137</v>
      </c>
      <c r="B93" s="4" t="n">
        <v>45304</v>
      </c>
      <c r="C93" s="5" t="s">
        <v>41</v>
      </c>
      <c r="D93" s="5" t="s">
        <v>42</v>
      </c>
      <c r="E93" s="5" t="s">
        <v>15</v>
      </c>
      <c r="F93" s="5" t="s">
        <v>46</v>
      </c>
      <c r="G93" s="6" t="n">
        <v>16</v>
      </c>
      <c r="H93" s="7" t="n">
        <v>59</v>
      </c>
      <c r="I93" s="7" t="n">
        <f aca="false">G93*H93</f>
        <v>944</v>
      </c>
      <c r="J93" s="7" t="n">
        <f aca="false">G93*26.55</f>
        <v>424.8</v>
      </c>
      <c r="K93" s="7" t="n">
        <f aca="false">I93-J93</f>
        <v>519.2</v>
      </c>
    </row>
    <row r="94" customFormat="false" ht="15" hidden="false" customHeight="false" outlineLevel="0" collapsed="false">
      <c r="A94" s="8" t="s">
        <v>138</v>
      </c>
      <c r="B94" s="9" t="n">
        <v>45583</v>
      </c>
      <c r="C94" s="10" t="s">
        <v>33</v>
      </c>
      <c r="D94" s="10" t="s">
        <v>38</v>
      </c>
      <c r="E94" s="10" t="s">
        <v>27</v>
      </c>
      <c r="F94" s="10" t="s">
        <v>28</v>
      </c>
      <c r="G94" s="11" t="n">
        <v>5</v>
      </c>
      <c r="H94" s="12" t="n">
        <v>549</v>
      </c>
      <c r="I94" s="12" t="n">
        <f aca="false">G94*H94</f>
        <v>2745</v>
      </c>
      <c r="J94" s="12" t="n">
        <f aca="false">G94*301.95</f>
        <v>1509.75</v>
      </c>
      <c r="K94" s="12" t="n">
        <f aca="false">I94-J94</f>
        <v>1235.25</v>
      </c>
    </row>
    <row r="95" customFormat="false" ht="15" hidden="false" customHeight="false" outlineLevel="0" collapsed="false">
      <c r="A95" s="3" t="s">
        <v>139</v>
      </c>
      <c r="B95" s="4" t="n">
        <v>45343</v>
      </c>
      <c r="C95" s="5" t="s">
        <v>13</v>
      </c>
      <c r="D95" s="5" t="s">
        <v>52</v>
      </c>
      <c r="E95" s="5" t="s">
        <v>18</v>
      </c>
      <c r="F95" s="5" t="s">
        <v>23</v>
      </c>
      <c r="G95" s="6" t="n">
        <v>1</v>
      </c>
      <c r="H95" s="7" t="n">
        <v>119</v>
      </c>
      <c r="I95" s="7" t="n">
        <f aca="false">G95*H95</f>
        <v>119</v>
      </c>
      <c r="J95" s="7" t="n">
        <f aca="false">G95*23.8</f>
        <v>23.8</v>
      </c>
      <c r="K95" s="7" t="n">
        <f aca="false">I95-J95</f>
        <v>95.2</v>
      </c>
    </row>
    <row r="96" customFormat="false" ht="15" hidden="false" customHeight="false" outlineLevel="0" collapsed="false">
      <c r="A96" s="8" t="s">
        <v>140</v>
      </c>
      <c r="B96" s="9" t="n">
        <v>45425</v>
      </c>
      <c r="C96" s="10" t="s">
        <v>41</v>
      </c>
      <c r="D96" s="10" t="s">
        <v>42</v>
      </c>
      <c r="E96" s="10" t="s">
        <v>30</v>
      </c>
      <c r="F96" s="10" t="s">
        <v>76</v>
      </c>
      <c r="G96" s="11" t="n">
        <v>2</v>
      </c>
      <c r="H96" s="12" t="n">
        <v>499</v>
      </c>
      <c r="I96" s="12" t="n">
        <f aca="false">G96*H96</f>
        <v>998</v>
      </c>
      <c r="J96" s="12" t="n">
        <f aca="false">G96*289.42</f>
        <v>578.84</v>
      </c>
      <c r="K96" s="12" t="n">
        <f aca="false">I96-J96</f>
        <v>419.16</v>
      </c>
    </row>
    <row r="97" customFormat="false" ht="15" hidden="false" customHeight="false" outlineLevel="0" collapsed="false">
      <c r="A97" s="3" t="s">
        <v>141</v>
      </c>
      <c r="B97" s="4" t="n">
        <v>45482</v>
      </c>
      <c r="C97" s="5" t="s">
        <v>33</v>
      </c>
      <c r="D97" s="5" t="s">
        <v>34</v>
      </c>
      <c r="E97" s="5" t="s">
        <v>30</v>
      </c>
      <c r="F97" s="5" t="s">
        <v>31</v>
      </c>
      <c r="G97" s="6" t="n">
        <v>11</v>
      </c>
      <c r="H97" s="7" t="n">
        <v>799</v>
      </c>
      <c r="I97" s="7" t="n">
        <f aca="false">G97*H97</f>
        <v>8789</v>
      </c>
      <c r="J97" s="7" t="n">
        <f aca="false">G97*463.42</f>
        <v>5097.62</v>
      </c>
      <c r="K97" s="7" t="n">
        <f aca="false">I97-J97</f>
        <v>3691.38</v>
      </c>
    </row>
    <row r="98" customFormat="false" ht="15" hidden="false" customHeight="false" outlineLevel="0" collapsed="false">
      <c r="A98" s="8" t="s">
        <v>142</v>
      </c>
      <c r="B98" s="9" t="n">
        <v>45644</v>
      </c>
      <c r="C98" s="10" t="s">
        <v>41</v>
      </c>
      <c r="D98" s="10" t="s">
        <v>49</v>
      </c>
      <c r="E98" s="10" t="s">
        <v>35</v>
      </c>
      <c r="F98" s="10" t="s">
        <v>36</v>
      </c>
      <c r="G98" s="11" t="n">
        <v>1</v>
      </c>
      <c r="H98" s="12" t="n">
        <v>1299</v>
      </c>
      <c r="I98" s="12" t="n">
        <f aca="false">G98*H98</f>
        <v>1299</v>
      </c>
      <c r="J98" s="12" t="n">
        <f aca="false">G98*779.4</f>
        <v>779.4</v>
      </c>
      <c r="K98" s="12" t="n">
        <f aca="false">I98-J98</f>
        <v>519.6</v>
      </c>
    </row>
    <row r="99" customFormat="false" ht="15" hidden="false" customHeight="false" outlineLevel="0" collapsed="false">
      <c r="A99" s="3" t="s">
        <v>143</v>
      </c>
      <c r="B99" s="4" t="n">
        <v>45598</v>
      </c>
      <c r="C99" s="5" t="s">
        <v>13</v>
      </c>
      <c r="D99" s="5" t="s">
        <v>52</v>
      </c>
      <c r="E99" s="5" t="s">
        <v>27</v>
      </c>
      <c r="F99" s="5" t="s">
        <v>100</v>
      </c>
      <c r="G99" s="6" t="n">
        <v>3</v>
      </c>
      <c r="H99" s="7" t="n">
        <v>199</v>
      </c>
      <c r="I99" s="7" t="n">
        <f aca="false">G99*H99</f>
        <v>597</v>
      </c>
      <c r="J99" s="7" t="n">
        <f aca="false">G99*109.45</f>
        <v>328.35</v>
      </c>
      <c r="K99" s="7" t="n">
        <f aca="false">I99-J99</f>
        <v>268.65</v>
      </c>
    </row>
    <row r="100" customFormat="false" ht="15" hidden="false" customHeight="false" outlineLevel="0" collapsed="false">
      <c r="A100" s="8" t="s">
        <v>144</v>
      </c>
      <c r="B100" s="9" t="n">
        <v>45359</v>
      </c>
      <c r="C100" s="10" t="s">
        <v>13</v>
      </c>
      <c r="D100" s="10" t="s">
        <v>14</v>
      </c>
      <c r="E100" s="10" t="s">
        <v>27</v>
      </c>
      <c r="F100" s="10" t="s">
        <v>66</v>
      </c>
      <c r="G100" s="11" t="n">
        <v>20</v>
      </c>
      <c r="H100" s="12" t="n">
        <v>249</v>
      </c>
      <c r="I100" s="12" t="n">
        <f aca="false">G100*H100</f>
        <v>4980</v>
      </c>
      <c r="J100" s="12" t="n">
        <f aca="false">G100*136.95</f>
        <v>2739</v>
      </c>
      <c r="K100" s="12" t="n">
        <f aca="false">I100-J100</f>
        <v>2241</v>
      </c>
    </row>
    <row r="101" customFormat="false" ht="15" hidden="false" customHeight="false" outlineLevel="0" collapsed="false">
      <c r="A101" s="3" t="s">
        <v>145</v>
      </c>
      <c r="B101" s="4" t="n">
        <v>45527</v>
      </c>
      <c r="C101" s="5" t="s">
        <v>21</v>
      </c>
      <c r="D101" s="5" t="s">
        <v>75</v>
      </c>
      <c r="E101" s="5" t="s">
        <v>35</v>
      </c>
      <c r="F101" s="5" t="s">
        <v>39</v>
      </c>
      <c r="G101" s="6" t="n">
        <v>7</v>
      </c>
      <c r="H101" s="7" t="n">
        <v>1799</v>
      </c>
      <c r="I101" s="7" t="n">
        <f aca="false">G101*H101</f>
        <v>12593</v>
      </c>
      <c r="J101" s="7" t="n">
        <f aca="false">G101*1079.4</f>
        <v>7555.8</v>
      </c>
      <c r="K101" s="7" t="n">
        <f aca="false">I101-J101</f>
        <v>5037.2</v>
      </c>
    </row>
    <row r="102" customFormat="false" ht="15" hidden="false" customHeight="false" outlineLevel="0" collapsed="false">
      <c r="A102" s="8" t="s">
        <v>146</v>
      </c>
      <c r="B102" s="9" t="n">
        <v>45649</v>
      </c>
      <c r="C102" s="10" t="s">
        <v>33</v>
      </c>
      <c r="D102" s="10" t="s">
        <v>38</v>
      </c>
      <c r="E102" s="10" t="s">
        <v>27</v>
      </c>
      <c r="F102" s="10" t="s">
        <v>100</v>
      </c>
      <c r="G102" s="11" t="n">
        <v>20</v>
      </c>
      <c r="H102" s="12" t="n">
        <v>199</v>
      </c>
      <c r="I102" s="12" t="n">
        <f aca="false">G102*H102</f>
        <v>3980</v>
      </c>
      <c r="J102" s="12" t="n">
        <f aca="false">G102*109.45</f>
        <v>2189</v>
      </c>
      <c r="K102" s="12" t="n">
        <f aca="false">I102-J102</f>
        <v>1791</v>
      </c>
    </row>
    <row r="103" customFormat="false" ht="15" hidden="false" customHeight="false" outlineLevel="0" collapsed="false">
      <c r="A103" s="3" t="s">
        <v>147</v>
      </c>
      <c r="B103" s="4" t="n">
        <v>45301</v>
      </c>
      <c r="C103" s="5" t="s">
        <v>13</v>
      </c>
      <c r="D103" s="5" t="s">
        <v>14</v>
      </c>
      <c r="E103" s="5" t="s">
        <v>15</v>
      </c>
      <c r="F103" s="5" t="s">
        <v>16</v>
      </c>
      <c r="G103" s="6" t="n">
        <v>19</v>
      </c>
      <c r="H103" s="7" t="n">
        <v>79</v>
      </c>
      <c r="I103" s="7" t="n">
        <f aca="false">G103*H103</f>
        <v>1501</v>
      </c>
      <c r="J103" s="7" t="n">
        <f aca="false">G103*35.55</f>
        <v>675.45</v>
      </c>
      <c r="K103" s="7" t="n">
        <f aca="false">I103-J103</f>
        <v>825.55</v>
      </c>
    </row>
    <row r="104" customFormat="false" ht="15" hidden="false" customHeight="false" outlineLevel="0" collapsed="false">
      <c r="A104" s="8" t="s">
        <v>148</v>
      </c>
      <c r="B104" s="9" t="n">
        <v>45341</v>
      </c>
      <c r="C104" s="10" t="s">
        <v>25</v>
      </c>
      <c r="D104" s="10" t="s">
        <v>26</v>
      </c>
      <c r="E104" s="10" t="s">
        <v>30</v>
      </c>
      <c r="F104" s="10" t="s">
        <v>117</v>
      </c>
      <c r="G104" s="11" t="n">
        <v>7</v>
      </c>
      <c r="H104" s="12" t="n">
        <v>329</v>
      </c>
      <c r="I104" s="12" t="n">
        <f aca="false">G104*H104</f>
        <v>2303</v>
      </c>
      <c r="J104" s="12" t="n">
        <f aca="false">G104*190.82</f>
        <v>1335.74</v>
      </c>
      <c r="K104" s="12" t="n">
        <f aca="false">I104-J104</f>
        <v>967.26</v>
      </c>
    </row>
    <row r="105" customFormat="false" ht="15" hidden="false" customHeight="false" outlineLevel="0" collapsed="false">
      <c r="A105" s="3" t="s">
        <v>149</v>
      </c>
      <c r="B105" s="4" t="n">
        <v>45348</v>
      </c>
      <c r="C105" s="5" t="s">
        <v>21</v>
      </c>
      <c r="D105" s="5" t="s">
        <v>22</v>
      </c>
      <c r="E105" s="5" t="s">
        <v>15</v>
      </c>
      <c r="F105" s="5" t="s">
        <v>69</v>
      </c>
      <c r="G105" s="6" t="n">
        <v>20</v>
      </c>
      <c r="H105" s="7" t="n">
        <v>199</v>
      </c>
      <c r="I105" s="7" t="n">
        <f aca="false">G105*H105</f>
        <v>3980</v>
      </c>
      <c r="J105" s="7" t="n">
        <f aca="false">G105*89.55</f>
        <v>1791</v>
      </c>
      <c r="K105" s="7" t="n">
        <f aca="false">I105-J105</f>
        <v>2189</v>
      </c>
    </row>
    <row r="106" customFormat="false" ht="15" hidden="false" customHeight="false" outlineLevel="0" collapsed="false">
      <c r="A106" s="8" t="s">
        <v>150</v>
      </c>
      <c r="B106" s="9" t="n">
        <v>45608</v>
      </c>
      <c r="C106" s="10" t="s">
        <v>25</v>
      </c>
      <c r="D106" s="10" t="s">
        <v>59</v>
      </c>
      <c r="E106" s="10" t="s">
        <v>15</v>
      </c>
      <c r="F106" s="10" t="s">
        <v>69</v>
      </c>
      <c r="G106" s="11" t="n">
        <v>14</v>
      </c>
      <c r="H106" s="12" t="n">
        <v>199</v>
      </c>
      <c r="I106" s="12" t="n">
        <f aca="false">G106*H106</f>
        <v>2786</v>
      </c>
      <c r="J106" s="12" t="n">
        <f aca="false">G106*89.55</f>
        <v>1253.7</v>
      </c>
      <c r="K106" s="12" t="n">
        <f aca="false">I106-J106</f>
        <v>1532.3</v>
      </c>
    </row>
    <row r="107" customFormat="false" ht="15" hidden="false" customHeight="false" outlineLevel="0" collapsed="false">
      <c r="A107" s="3" t="s">
        <v>151</v>
      </c>
      <c r="B107" s="4" t="n">
        <v>45336</v>
      </c>
      <c r="C107" s="5" t="s">
        <v>13</v>
      </c>
      <c r="D107" s="5" t="s">
        <v>52</v>
      </c>
      <c r="E107" s="5" t="s">
        <v>35</v>
      </c>
      <c r="F107" s="5" t="s">
        <v>36</v>
      </c>
      <c r="G107" s="6" t="n">
        <v>16</v>
      </c>
      <c r="H107" s="7" t="n">
        <v>1299</v>
      </c>
      <c r="I107" s="7" t="n">
        <f aca="false">G107*H107</f>
        <v>20784</v>
      </c>
      <c r="J107" s="7" t="n">
        <f aca="false">G107*779.4</f>
        <v>12470.4</v>
      </c>
      <c r="K107" s="7" t="n">
        <f aca="false">I107-J107</f>
        <v>8313.6</v>
      </c>
    </row>
    <row r="108" customFormat="false" ht="15" hidden="false" customHeight="false" outlineLevel="0" collapsed="false">
      <c r="A108" s="8" t="s">
        <v>152</v>
      </c>
      <c r="B108" s="9" t="n">
        <v>45643</v>
      </c>
      <c r="C108" s="10" t="s">
        <v>33</v>
      </c>
      <c r="D108" s="10" t="s">
        <v>38</v>
      </c>
      <c r="E108" s="10" t="s">
        <v>27</v>
      </c>
      <c r="F108" s="10" t="s">
        <v>28</v>
      </c>
      <c r="G108" s="11" t="n">
        <v>6</v>
      </c>
      <c r="H108" s="12" t="n">
        <v>549</v>
      </c>
      <c r="I108" s="12" t="n">
        <f aca="false">G108*H108</f>
        <v>3294</v>
      </c>
      <c r="J108" s="12" t="n">
        <f aca="false">G108*301.95</f>
        <v>1811.7</v>
      </c>
      <c r="K108" s="12" t="n">
        <f aca="false">I108-J108</f>
        <v>1482.3</v>
      </c>
    </row>
    <row r="109" customFormat="false" ht="15" hidden="false" customHeight="false" outlineLevel="0" collapsed="false">
      <c r="A109" s="3" t="s">
        <v>153</v>
      </c>
      <c r="B109" s="4" t="n">
        <v>45423</v>
      </c>
      <c r="C109" s="5" t="s">
        <v>33</v>
      </c>
      <c r="D109" s="5" t="s">
        <v>38</v>
      </c>
      <c r="E109" s="5" t="s">
        <v>30</v>
      </c>
      <c r="F109" s="5" t="s">
        <v>31</v>
      </c>
      <c r="G109" s="6" t="n">
        <v>19</v>
      </c>
      <c r="H109" s="7" t="n">
        <v>799</v>
      </c>
      <c r="I109" s="7" t="n">
        <f aca="false">G109*H109</f>
        <v>15181</v>
      </c>
      <c r="J109" s="7" t="n">
        <f aca="false">G109*463.42</f>
        <v>8804.98</v>
      </c>
      <c r="K109" s="7" t="n">
        <f aca="false">I109-J109</f>
        <v>6376.02</v>
      </c>
    </row>
    <row r="110" customFormat="false" ht="15" hidden="false" customHeight="false" outlineLevel="0" collapsed="false">
      <c r="A110" s="8" t="s">
        <v>154</v>
      </c>
      <c r="B110" s="9" t="n">
        <v>45523</v>
      </c>
      <c r="C110" s="10" t="s">
        <v>21</v>
      </c>
      <c r="D110" s="10" t="s">
        <v>22</v>
      </c>
      <c r="E110" s="10" t="s">
        <v>15</v>
      </c>
      <c r="F110" s="10" t="s">
        <v>46</v>
      </c>
      <c r="G110" s="11" t="n">
        <v>8</v>
      </c>
      <c r="H110" s="12" t="n">
        <v>59</v>
      </c>
      <c r="I110" s="12" t="n">
        <f aca="false">G110*H110</f>
        <v>472</v>
      </c>
      <c r="J110" s="12" t="n">
        <f aca="false">G110*26.55</f>
        <v>212.4</v>
      </c>
      <c r="K110" s="12" t="n">
        <f aca="false">I110-J110</f>
        <v>259.6</v>
      </c>
    </row>
    <row r="111" customFormat="false" ht="15" hidden="false" customHeight="false" outlineLevel="0" collapsed="false">
      <c r="A111" s="3" t="s">
        <v>155</v>
      </c>
      <c r="B111" s="4" t="n">
        <v>45449</v>
      </c>
      <c r="C111" s="5" t="s">
        <v>25</v>
      </c>
      <c r="D111" s="5" t="s">
        <v>26</v>
      </c>
      <c r="E111" s="5" t="s">
        <v>15</v>
      </c>
      <c r="F111" s="5" t="s">
        <v>16</v>
      </c>
      <c r="G111" s="6" t="n">
        <v>16</v>
      </c>
      <c r="H111" s="7" t="n">
        <v>79</v>
      </c>
      <c r="I111" s="7" t="n">
        <f aca="false">G111*H111</f>
        <v>1264</v>
      </c>
      <c r="J111" s="7" t="n">
        <f aca="false">G111*35.55</f>
        <v>568.8</v>
      </c>
      <c r="K111" s="7" t="n">
        <f aca="false">I111-J111</f>
        <v>695.2</v>
      </c>
    </row>
    <row r="112" customFormat="false" ht="15" hidden="false" customHeight="false" outlineLevel="0" collapsed="false">
      <c r="A112" s="8" t="s">
        <v>156</v>
      </c>
      <c r="B112" s="9" t="n">
        <v>45432</v>
      </c>
      <c r="C112" s="10" t="s">
        <v>41</v>
      </c>
      <c r="D112" s="10" t="s">
        <v>42</v>
      </c>
      <c r="E112" s="10" t="s">
        <v>15</v>
      </c>
      <c r="F112" s="10" t="s">
        <v>46</v>
      </c>
      <c r="G112" s="11" t="n">
        <v>11</v>
      </c>
      <c r="H112" s="12" t="n">
        <v>59</v>
      </c>
      <c r="I112" s="12" t="n">
        <f aca="false">G112*H112</f>
        <v>649</v>
      </c>
      <c r="J112" s="12" t="n">
        <f aca="false">G112*26.55</f>
        <v>292.05</v>
      </c>
      <c r="K112" s="12" t="n">
        <f aca="false">I112-J112</f>
        <v>356.95</v>
      </c>
    </row>
    <row r="113" customFormat="false" ht="15" hidden="false" customHeight="false" outlineLevel="0" collapsed="false">
      <c r="A113" s="3" t="s">
        <v>157</v>
      </c>
      <c r="B113" s="4" t="n">
        <v>45406</v>
      </c>
      <c r="C113" s="5" t="s">
        <v>33</v>
      </c>
      <c r="D113" s="5" t="s">
        <v>34</v>
      </c>
      <c r="E113" s="5" t="s">
        <v>18</v>
      </c>
      <c r="F113" s="5" t="s">
        <v>50</v>
      </c>
      <c r="G113" s="6" t="n">
        <v>3</v>
      </c>
      <c r="H113" s="7" t="n">
        <v>149</v>
      </c>
      <c r="I113" s="7" t="n">
        <f aca="false">G113*H113</f>
        <v>447</v>
      </c>
      <c r="J113" s="7" t="n">
        <f aca="false">G113*29.8</f>
        <v>89.4</v>
      </c>
      <c r="K113" s="7" t="n">
        <f aca="false">I113-J113</f>
        <v>357.6</v>
      </c>
    </row>
    <row r="114" customFormat="false" ht="15" hidden="false" customHeight="false" outlineLevel="0" collapsed="false">
      <c r="A114" s="8" t="s">
        <v>158</v>
      </c>
      <c r="B114" s="9" t="n">
        <v>45619</v>
      </c>
      <c r="C114" s="10" t="s">
        <v>41</v>
      </c>
      <c r="D114" s="10" t="s">
        <v>49</v>
      </c>
      <c r="E114" s="10" t="s">
        <v>18</v>
      </c>
      <c r="F114" s="10" t="s">
        <v>50</v>
      </c>
      <c r="G114" s="11" t="n">
        <v>16</v>
      </c>
      <c r="H114" s="12" t="n">
        <v>149</v>
      </c>
      <c r="I114" s="12" t="n">
        <f aca="false">G114*H114</f>
        <v>2384</v>
      </c>
      <c r="J114" s="12" t="n">
        <f aca="false">G114*29.8</f>
        <v>476.8</v>
      </c>
      <c r="K114" s="12" t="n">
        <f aca="false">I114-J114</f>
        <v>1907.2</v>
      </c>
    </row>
    <row r="115" customFormat="false" ht="15" hidden="false" customHeight="false" outlineLevel="0" collapsed="false">
      <c r="A115" s="3" t="s">
        <v>159</v>
      </c>
      <c r="B115" s="4" t="n">
        <v>45395</v>
      </c>
      <c r="C115" s="5" t="s">
        <v>41</v>
      </c>
      <c r="D115" s="5" t="s">
        <v>49</v>
      </c>
      <c r="E115" s="5" t="s">
        <v>35</v>
      </c>
      <c r="F115" s="5" t="s">
        <v>57</v>
      </c>
      <c r="G115" s="6" t="n">
        <v>10</v>
      </c>
      <c r="H115" s="7" t="n">
        <v>899</v>
      </c>
      <c r="I115" s="7" t="n">
        <f aca="false">G115*H115</f>
        <v>8990</v>
      </c>
      <c r="J115" s="7" t="n">
        <f aca="false">G115*539.4</f>
        <v>5394</v>
      </c>
      <c r="K115" s="7" t="n">
        <f aca="false">I115-J115</f>
        <v>3596</v>
      </c>
    </row>
    <row r="116" customFormat="false" ht="15" hidden="false" customHeight="false" outlineLevel="0" collapsed="false">
      <c r="A116" s="8" t="s">
        <v>160</v>
      </c>
      <c r="B116" s="9" t="n">
        <v>45552</v>
      </c>
      <c r="C116" s="10" t="s">
        <v>21</v>
      </c>
      <c r="D116" s="10" t="s">
        <v>75</v>
      </c>
      <c r="E116" s="10" t="s">
        <v>18</v>
      </c>
      <c r="F116" s="10" t="s">
        <v>19</v>
      </c>
      <c r="G116" s="11" t="n">
        <v>16</v>
      </c>
      <c r="H116" s="12" t="n">
        <v>89</v>
      </c>
      <c r="I116" s="12" t="n">
        <f aca="false">G116*H116</f>
        <v>1424</v>
      </c>
      <c r="J116" s="12" t="n">
        <f aca="false">G116*17.8</f>
        <v>284.8</v>
      </c>
      <c r="K116" s="12" t="n">
        <f aca="false">I116-J116</f>
        <v>1139.2</v>
      </c>
    </row>
    <row r="117" customFormat="false" ht="15" hidden="false" customHeight="false" outlineLevel="0" collapsed="false">
      <c r="A117" s="3" t="s">
        <v>161</v>
      </c>
      <c r="B117" s="4" t="n">
        <v>45641</v>
      </c>
      <c r="C117" s="5" t="s">
        <v>33</v>
      </c>
      <c r="D117" s="5" t="s">
        <v>38</v>
      </c>
      <c r="E117" s="5" t="s">
        <v>18</v>
      </c>
      <c r="F117" s="5" t="s">
        <v>19</v>
      </c>
      <c r="G117" s="6" t="n">
        <v>12</v>
      </c>
      <c r="H117" s="7" t="n">
        <v>89</v>
      </c>
      <c r="I117" s="7" t="n">
        <f aca="false">G117*H117</f>
        <v>1068</v>
      </c>
      <c r="J117" s="7" t="n">
        <f aca="false">G117*17.8</f>
        <v>213.6</v>
      </c>
      <c r="K117" s="7" t="n">
        <f aca="false">I117-J117</f>
        <v>854.4</v>
      </c>
    </row>
    <row r="118" customFormat="false" ht="15" hidden="false" customHeight="false" outlineLevel="0" collapsed="false">
      <c r="A118" s="8" t="s">
        <v>162</v>
      </c>
      <c r="B118" s="9" t="n">
        <v>45633</v>
      </c>
      <c r="C118" s="10" t="s">
        <v>33</v>
      </c>
      <c r="D118" s="10" t="s">
        <v>38</v>
      </c>
      <c r="E118" s="10" t="s">
        <v>15</v>
      </c>
      <c r="F118" s="10" t="s">
        <v>16</v>
      </c>
      <c r="G118" s="11" t="n">
        <v>4</v>
      </c>
      <c r="H118" s="12" t="n">
        <v>79</v>
      </c>
      <c r="I118" s="12" t="n">
        <f aca="false">G118*H118</f>
        <v>316</v>
      </c>
      <c r="J118" s="12" t="n">
        <f aca="false">G118*35.55</f>
        <v>142.2</v>
      </c>
      <c r="K118" s="12" t="n">
        <f aca="false">I118-J118</f>
        <v>173.8</v>
      </c>
    </row>
    <row r="119" customFormat="false" ht="15" hidden="false" customHeight="false" outlineLevel="0" collapsed="false">
      <c r="A119" s="3" t="s">
        <v>163</v>
      </c>
      <c r="B119" s="4" t="n">
        <v>45389</v>
      </c>
      <c r="C119" s="5" t="s">
        <v>33</v>
      </c>
      <c r="D119" s="5" t="s">
        <v>34</v>
      </c>
      <c r="E119" s="5" t="s">
        <v>18</v>
      </c>
      <c r="F119" s="5" t="s">
        <v>23</v>
      </c>
      <c r="G119" s="6" t="n">
        <v>6</v>
      </c>
      <c r="H119" s="7" t="n">
        <v>119</v>
      </c>
      <c r="I119" s="7" t="n">
        <f aca="false">G119*H119</f>
        <v>714</v>
      </c>
      <c r="J119" s="7" t="n">
        <f aca="false">G119*23.8</f>
        <v>142.8</v>
      </c>
      <c r="K119" s="7" t="n">
        <f aca="false">I119-J119</f>
        <v>571.2</v>
      </c>
    </row>
    <row r="120" customFormat="false" ht="15" hidden="false" customHeight="false" outlineLevel="0" collapsed="false">
      <c r="A120" s="8" t="s">
        <v>164</v>
      </c>
      <c r="B120" s="9" t="n">
        <v>45416</v>
      </c>
      <c r="C120" s="10" t="s">
        <v>41</v>
      </c>
      <c r="D120" s="10" t="s">
        <v>49</v>
      </c>
      <c r="E120" s="10" t="s">
        <v>18</v>
      </c>
      <c r="F120" s="10" t="s">
        <v>23</v>
      </c>
      <c r="G120" s="11" t="n">
        <v>20</v>
      </c>
      <c r="H120" s="12" t="n">
        <v>119</v>
      </c>
      <c r="I120" s="12" t="n">
        <f aca="false">G120*H120</f>
        <v>2380</v>
      </c>
      <c r="J120" s="12" t="n">
        <f aca="false">G120*23.8</f>
        <v>476</v>
      </c>
      <c r="K120" s="12" t="n">
        <f aca="false">I120-J120</f>
        <v>1904</v>
      </c>
    </row>
    <row r="121" customFormat="false" ht="15" hidden="false" customHeight="false" outlineLevel="0" collapsed="false">
      <c r="A121" s="3" t="s">
        <v>165</v>
      </c>
      <c r="B121" s="4" t="n">
        <v>45413</v>
      </c>
      <c r="C121" s="5" t="s">
        <v>21</v>
      </c>
      <c r="D121" s="5" t="s">
        <v>75</v>
      </c>
      <c r="E121" s="5" t="s">
        <v>27</v>
      </c>
      <c r="F121" s="5" t="s">
        <v>28</v>
      </c>
      <c r="G121" s="6" t="n">
        <v>6</v>
      </c>
      <c r="H121" s="7" t="n">
        <v>549</v>
      </c>
      <c r="I121" s="7" t="n">
        <f aca="false">G121*H121</f>
        <v>3294</v>
      </c>
      <c r="J121" s="7" t="n">
        <f aca="false">G121*301.95</f>
        <v>1811.7</v>
      </c>
      <c r="K121" s="7" t="n">
        <f aca="false">I121-J121</f>
        <v>1482.3</v>
      </c>
    </row>
    <row r="122" customFormat="false" ht="15" hidden="false" customHeight="false" outlineLevel="0" collapsed="false">
      <c r="A122" s="8" t="s">
        <v>166</v>
      </c>
      <c r="B122" s="9" t="n">
        <v>45545</v>
      </c>
      <c r="C122" s="10" t="s">
        <v>25</v>
      </c>
      <c r="D122" s="10" t="s">
        <v>59</v>
      </c>
      <c r="E122" s="10" t="s">
        <v>15</v>
      </c>
      <c r="F122" s="10" t="s">
        <v>16</v>
      </c>
      <c r="G122" s="11" t="n">
        <v>2</v>
      </c>
      <c r="H122" s="12" t="n">
        <v>79</v>
      </c>
      <c r="I122" s="12" t="n">
        <f aca="false">G122*H122</f>
        <v>158</v>
      </c>
      <c r="J122" s="12" t="n">
        <f aca="false">G122*35.55</f>
        <v>71.1</v>
      </c>
      <c r="K122" s="12" t="n">
        <f aca="false">I122-J122</f>
        <v>86.9</v>
      </c>
    </row>
    <row r="123" customFormat="false" ht="15" hidden="false" customHeight="false" outlineLevel="0" collapsed="false">
      <c r="A123" s="3" t="s">
        <v>167</v>
      </c>
      <c r="B123" s="4" t="n">
        <v>45428</v>
      </c>
      <c r="C123" s="5" t="s">
        <v>21</v>
      </c>
      <c r="D123" s="5" t="s">
        <v>75</v>
      </c>
      <c r="E123" s="5" t="s">
        <v>35</v>
      </c>
      <c r="F123" s="5" t="s">
        <v>57</v>
      </c>
      <c r="G123" s="6" t="n">
        <v>19</v>
      </c>
      <c r="H123" s="7" t="n">
        <v>899</v>
      </c>
      <c r="I123" s="7" t="n">
        <f aca="false">G123*H123</f>
        <v>17081</v>
      </c>
      <c r="J123" s="7" t="n">
        <f aca="false">G123*539.4</f>
        <v>10248.6</v>
      </c>
      <c r="K123" s="7" t="n">
        <f aca="false">I123-J123</f>
        <v>6832.4</v>
      </c>
    </row>
    <row r="124" customFormat="false" ht="15" hidden="false" customHeight="false" outlineLevel="0" collapsed="false">
      <c r="A124" s="8" t="s">
        <v>168</v>
      </c>
      <c r="B124" s="9" t="n">
        <v>45440</v>
      </c>
      <c r="C124" s="10" t="s">
        <v>41</v>
      </c>
      <c r="D124" s="10" t="s">
        <v>49</v>
      </c>
      <c r="E124" s="10" t="s">
        <v>15</v>
      </c>
      <c r="F124" s="10" t="s">
        <v>16</v>
      </c>
      <c r="G124" s="11" t="n">
        <v>2</v>
      </c>
      <c r="H124" s="12" t="n">
        <v>79</v>
      </c>
      <c r="I124" s="12" t="n">
        <f aca="false">G124*H124</f>
        <v>158</v>
      </c>
      <c r="J124" s="12" t="n">
        <f aca="false">G124*35.55</f>
        <v>71.1</v>
      </c>
      <c r="K124" s="12" t="n">
        <f aca="false">I124-J124</f>
        <v>86.9</v>
      </c>
    </row>
    <row r="125" customFormat="false" ht="15" hidden="false" customHeight="false" outlineLevel="0" collapsed="false">
      <c r="A125" s="3" t="s">
        <v>169</v>
      </c>
      <c r="B125" s="4" t="n">
        <v>45341</v>
      </c>
      <c r="C125" s="5" t="s">
        <v>41</v>
      </c>
      <c r="D125" s="5" t="s">
        <v>42</v>
      </c>
      <c r="E125" s="5" t="s">
        <v>35</v>
      </c>
      <c r="F125" s="5" t="s">
        <v>36</v>
      </c>
      <c r="G125" s="6" t="n">
        <v>16</v>
      </c>
      <c r="H125" s="7" t="n">
        <v>1299</v>
      </c>
      <c r="I125" s="7" t="n">
        <f aca="false">G125*H125</f>
        <v>20784</v>
      </c>
      <c r="J125" s="7" t="n">
        <f aca="false">G125*779.4</f>
        <v>12470.4</v>
      </c>
      <c r="K125" s="7" t="n">
        <f aca="false">I125-J125</f>
        <v>8313.6</v>
      </c>
    </row>
    <row r="126" customFormat="false" ht="15" hidden="false" customHeight="false" outlineLevel="0" collapsed="false">
      <c r="A126" s="8" t="s">
        <v>170</v>
      </c>
      <c r="B126" s="9" t="n">
        <v>45330</v>
      </c>
      <c r="C126" s="10" t="s">
        <v>13</v>
      </c>
      <c r="D126" s="10" t="s">
        <v>14</v>
      </c>
      <c r="E126" s="10" t="s">
        <v>27</v>
      </c>
      <c r="F126" s="10" t="s">
        <v>100</v>
      </c>
      <c r="G126" s="11" t="n">
        <v>10</v>
      </c>
      <c r="H126" s="12" t="n">
        <v>199</v>
      </c>
      <c r="I126" s="12" t="n">
        <f aca="false">G126*H126</f>
        <v>1990</v>
      </c>
      <c r="J126" s="12" t="n">
        <f aca="false">G126*109.45</f>
        <v>1094.5</v>
      </c>
      <c r="K126" s="12" t="n">
        <f aca="false">I126-J126</f>
        <v>895.5</v>
      </c>
    </row>
    <row r="127" customFormat="false" ht="15" hidden="false" customHeight="false" outlineLevel="0" collapsed="false">
      <c r="A127" s="3" t="s">
        <v>171</v>
      </c>
      <c r="B127" s="4" t="n">
        <v>45407</v>
      </c>
      <c r="C127" s="5" t="s">
        <v>13</v>
      </c>
      <c r="D127" s="5" t="s">
        <v>52</v>
      </c>
      <c r="E127" s="5" t="s">
        <v>18</v>
      </c>
      <c r="F127" s="5" t="s">
        <v>23</v>
      </c>
      <c r="G127" s="6" t="n">
        <v>20</v>
      </c>
      <c r="H127" s="7" t="n">
        <v>119</v>
      </c>
      <c r="I127" s="7" t="n">
        <f aca="false">G127*H127</f>
        <v>2380</v>
      </c>
      <c r="J127" s="7" t="n">
        <f aca="false">G127*23.8</f>
        <v>476</v>
      </c>
      <c r="K127" s="7" t="n">
        <f aca="false">I127-J127</f>
        <v>1904</v>
      </c>
    </row>
    <row r="128" customFormat="false" ht="15" hidden="false" customHeight="false" outlineLevel="0" collapsed="false">
      <c r="A128" s="8" t="s">
        <v>172</v>
      </c>
      <c r="B128" s="9" t="n">
        <v>45579</v>
      </c>
      <c r="C128" s="10" t="s">
        <v>25</v>
      </c>
      <c r="D128" s="10" t="s">
        <v>26</v>
      </c>
      <c r="E128" s="10" t="s">
        <v>30</v>
      </c>
      <c r="F128" s="10" t="s">
        <v>31</v>
      </c>
      <c r="G128" s="11" t="n">
        <v>10</v>
      </c>
      <c r="H128" s="12" t="n">
        <v>799</v>
      </c>
      <c r="I128" s="12" t="n">
        <f aca="false">G128*H128</f>
        <v>7990</v>
      </c>
      <c r="J128" s="12" t="n">
        <f aca="false">G128*463.42</f>
        <v>4634.2</v>
      </c>
      <c r="K128" s="12" t="n">
        <f aca="false">I128-J128</f>
        <v>3355.8</v>
      </c>
    </row>
    <row r="129" customFormat="false" ht="15" hidden="false" customHeight="false" outlineLevel="0" collapsed="false">
      <c r="A129" s="3" t="s">
        <v>173</v>
      </c>
      <c r="B129" s="4" t="n">
        <v>45403</v>
      </c>
      <c r="C129" s="5" t="s">
        <v>33</v>
      </c>
      <c r="D129" s="5" t="s">
        <v>34</v>
      </c>
      <c r="E129" s="5" t="s">
        <v>18</v>
      </c>
      <c r="F129" s="5" t="s">
        <v>23</v>
      </c>
      <c r="G129" s="6" t="n">
        <v>4</v>
      </c>
      <c r="H129" s="7" t="n">
        <v>119</v>
      </c>
      <c r="I129" s="7" t="n">
        <f aca="false">G129*H129</f>
        <v>476</v>
      </c>
      <c r="J129" s="7" t="n">
        <f aca="false">G129*23.8</f>
        <v>95.2</v>
      </c>
      <c r="K129" s="7" t="n">
        <f aca="false">I129-J129</f>
        <v>380.8</v>
      </c>
    </row>
    <row r="130" customFormat="false" ht="15" hidden="false" customHeight="false" outlineLevel="0" collapsed="false">
      <c r="A130" s="8" t="s">
        <v>174</v>
      </c>
      <c r="B130" s="9" t="n">
        <v>45369</v>
      </c>
      <c r="C130" s="10" t="s">
        <v>21</v>
      </c>
      <c r="D130" s="10" t="s">
        <v>75</v>
      </c>
      <c r="E130" s="10" t="s">
        <v>35</v>
      </c>
      <c r="F130" s="10" t="s">
        <v>57</v>
      </c>
      <c r="G130" s="11" t="n">
        <v>8</v>
      </c>
      <c r="H130" s="12" t="n">
        <v>899</v>
      </c>
      <c r="I130" s="12" t="n">
        <f aca="false">G130*H130</f>
        <v>7192</v>
      </c>
      <c r="J130" s="12" t="n">
        <f aca="false">G130*539.4</f>
        <v>4315.2</v>
      </c>
      <c r="K130" s="12" t="n">
        <f aca="false">I130-J130</f>
        <v>2876.8</v>
      </c>
    </row>
    <row r="131" customFormat="false" ht="15" hidden="false" customHeight="false" outlineLevel="0" collapsed="false">
      <c r="A131" s="3" t="s">
        <v>175</v>
      </c>
      <c r="B131" s="4" t="n">
        <v>45646</v>
      </c>
      <c r="C131" s="5" t="s">
        <v>13</v>
      </c>
      <c r="D131" s="5" t="s">
        <v>14</v>
      </c>
      <c r="E131" s="5" t="s">
        <v>35</v>
      </c>
      <c r="F131" s="5" t="s">
        <v>36</v>
      </c>
      <c r="G131" s="6" t="n">
        <v>15</v>
      </c>
      <c r="H131" s="7" t="n">
        <v>1299</v>
      </c>
      <c r="I131" s="7" t="n">
        <f aca="false">G131*H131</f>
        <v>19485</v>
      </c>
      <c r="J131" s="7" t="n">
        <f aca="false">G131*779.4</f>
        <v>11691</v>
      </c>
      <c r="K131" s="7" t="n">
        <f aca="false">I131-J131</f>
        <v>7794</v>
      </c>
    </row>
    <row r="132" customFormat="false" ht="15" hidden="false" customHeight="false" outlineLevel="0" collapsed="false">
      <c r="A132" s="8" t="s">
        <v>176</v>
      </c>
      <c r="B132" s="9" t="n">
        <v>45636</v>
      </c>
      <c r="C132" s="10" t="s">
        <v>41</v>
      </c>
      <c r="D132" s="10" t="s">
        <v>49</v>
      </c>
      <c r="E132" s="10" t="s">
        <v>35</v>
      </c>
      <c r="F132" s="10" t="s">
        <v>57</v>
      </c>
      <c r="G132" s="11" t="n">
        <v>10</v>
      </c>
      <c r="H132" s="12" t="n">
        <v>899</v>
      </c>
      <c r="I132" s="12" t="n">
        <f aca="false">G132*H132</f>
        <v>8990</v>
      </c>
      <c r="J132" s="12" t="n">
        <f aca="false">G132*539.4</f>
        <v>5394</v>
      </c>
      <c r="K132" s="12" t="n">
        <f aca="false">I132-J132</f>
        <v>3596</v>
      </c>
    </row>
    <row r="133" customFormat="false" ht="15" hidden="false" customHeight="false" outlineLevel="0" collapsed="false">
      <c r="A133" s="3" t="s">
        <v>177</v>
      </c>
      <c r="B133" s="4" t="n">
        <v>45622</v>
      </c>
      <c r="C133" s="5" t="s">
        <v>41</v>
      </c>
      <c r="D133" s="5" t="s">
        <v>42</v>
      </c>
      <c r="E133" s="5" t="s">
        <v>27</v>
      </c>
      <c r="F133" s="5" t="s">
        <v>28</v>
      </c>
      <c r="G133" s="6" t="n">
        <v>19</v>
      </c>
      <c r="H133" s="7" t="n">
        <v>549</v>
      </c>
      <c r="I133" s="7" t="n">
        <f aca="false">G133*H133</f>
        <v>10431</v>
      </c>
      <c r="J133" s="7" t="n">
        <f aca="false">G133*301.95</f>
        <v>5737.05</v>
      </c>
      <c r="K133" s="7" t="n">
        <f aca="false">I133-J133</f>
        <v>4693.95</v>
      </c>
    </row>
    <row r="134" customFormat="false" ht="15" hidden="false" customHeight="false" outlineLevel="0" collapsed="false">
      <c r="A134" s="8" t="s">
        <v>178</v>
      </c>
      <c r="B134" s="9" t="n">
        <v>45601</v>
      </c>
      <c r="C134" s="10" t="s">
        <v>21</v>
      </c>
      <c r="D134" s="10" t="s">
        <v>75</v>
      </c>
      <c r="E134" s="10" t="s">
        <v>35</v>
      </c>
      <c r="F134" s="10" t="s">
        <v>39</v>
      </c>
      <c r="G134" s="11" t="n">
        <v>8</v>
      </c>
      <c r="H134" s="12" t="n">
        <v>1799</v>
      </c>
      <c r="I134" s="12" t="n">
        <f aca="false">G134*H134</f>
        <v>14392</v>
      </c>
      <c r="J134" s="12" t="n">
        <f aca="false">G134*1079.4</f>
        <v>8635.2</v>
      </c>
      <c r="K134" s="12" t="n">
        <f aca="false">I134-J134</f>
        <v>5756.8</v>
      </c>
    </row>
    <row r="135" customFormat="false" ht="15" hidden="false" customHeight="false" outlineLevel="0" collapsed="false">
      <c r="A135" s="3" t="s">
        <v>179</v>
      </c>
      <c r="B135" s="4" t="n">
        <v>45432</v>
      </c>
      <c r="C135" s="5" t="s">
        <v>33</v>
      </c>
      <c r="D135" s="5" t="s">
        <v>34</v>
      </c>
      <c r="E135" s="5" t="s">
        <v>35</v>
      </c>
      <c r="F135" s="5" t="s">
        <v>57</v>
      </c>
      <c r="G135" s="6" t="n">
        <v>6</v>
      </c>
      <c r="H135" s="7" t="n">
        <v>899</v>
      </c>
      <c r="I135" s="7" t="n">
        <f aca="false">G135*H135</f>
        <v>5394</v>
      </c>
      <c r="J135" s="7" t="n">
        <f aca="false">G135*539.4</f>
        <v>3236.4</v>
      </c>
      <c r="K135" s="7" t="n">
        <f aca="false">I135-J135</f>
        <v>2157.6</v>
      </c>
    </row>
    <row r="136" customFormat="false" ht="15" hidden="false" customHeight="false" outlineLevel="0" collapsed="false">
      <c r="A136" s="8" t="s">
        <v>180</v>
      </c>
      <c r="B136" s="9" t="n">
        <v>45636</v>
      </c>
      <c r="C136" s="10" t="s">
        <v>25</v>
      </c>
      <c r="D136" s="10" t="s">
        <v>26</v>
      </c>
      <c r="E136" s="10" t="s">
        <v>30</v>
      </c>
      <c r="F136" s="10" t="s">
        <v>76</v>
      </c>
      <c r="G136" s="11" t="n">
        <v>15</v>
      </c>
      <c r="H136" s="12" t="n">
        <v>499</v>
      </c>
      <c r="I136" s="12" t="n">
        <f aca="false">G136*H136</f>
        <v>7485</v>
      </c>
      <c r="J136" s="12" t="n">
        <f aca="false">G136*289.42</f>
        <v>4341.3</v>
      </c>
      <c r="K136" s="12" t="n">
        <f aca="false">I136-J136</f>
        <v>3143.7</v>
      </c>
    </row>
    <row r="137" customFormat="false" ht="15" hidden="false" customHeight="false" outlineLevel="0" collapsed="false">
      <c r="A137" s="3" t="s">
        <v>181</v>
      </c>
      <c r="B137" s="4" t="n">
        <v>45507</v>
      </c>
      <c r="C137" s="5" t="s">
        <v>41</v>
      </c>
      <c r="D137" s="5" t="s">
        <v>49</v>
      </c>
      <c r="E137" s="5" t="s">
        <v>18</v>
      </c>
      <c r="F137" s="5" t="s">
        <v>23</v>
      </c>
      <c r="G137" s="6" t="n">
        <v>16</v>
      </c>
      <c r="H137" s="7" t="n">
        <v>119</v>
      </c>
      <c r="I137" s="7" t="n">
        <f aca="false">G137*H137</f>
        <v>1904</v>
      </c>
      <c r="J137" s="7" t="n">
        <f aca="false">G137*23.8</f>
        <v>380.8</v>
      </c>
      <c r="K137" s="7" t="n">
        <f aca="false">I137-J137</f>
        <v>1523.2</v>
      </c>
    </row>
    <row r="138" customFormat="false" ht="15" hidden="false" customHeight="false" outlineLevel="0" collapsed="false">
      <c r="A138" s="8" t="s">
        <v>182</v>
      </c>
      <c r="B138" s="9" t="n">
        <v>45574</v>
      </c>
      <c r="C138" s="10" t="s">
        <v>25</v>
      </c>
      <c r="D138" s="10" t="s">
        <v>59</v>
      </c>
      <c r="E138" s="10" t="s">
        <v>30</v>
      </c>
      <c r="F138" s="10" t="s">
        <v>117</v>
      </c>
      <c r="G138" s="11" t="n">
        <v>11</v>
      </c>
      <c r="H138" s="12" t="n">
        <v>329</v>
      </c>
      <c r="I138" s="12" t="n">
        <f aca="false">G138*H138</f>
        <v>3619</v>
      </c>
      <c r="J138" s="12" t="n">
        <f aca="false">G138*190.82</f>
        <v>2099.02</v>
      </c>
      <c r="K138" s="12" t="n">
        <f aca="false">I138-J138</f>
        <v>1519.98</v>
      </c>
    </row>
    <row r="139" customFormat="false" ht="15" hidden="false" customHeight="false" outlineLevel="0" collapsed="false">
      <c r="A139" s="3" t="s">
        <v>183</v>
      </c>
      <c r="B139" s="4" t="n">
        <v>45566</v>
      </c>
      <c r="C139" s="5" t="s">
        <v>13</v>
      </c>
      <c r="D139" s="5" t="s">
        <v>14</v>
      </c>
      <c r="E139" s="5" t="s">
        <v>27</v>
      </c>
      <c r="F139" s="5" t="s">
        <v>100</v>
      </c>
      <c r="G139" s="6" t="n">
        <v>19</v>
      </c>
      <c r="H139" s="7" t="n">
        <v>199</v>
      </c>
      <c r="I139" s="7" t="n">
        <f aca="false">G139*H139</f>
        <v>3781</v>
      </c>
      <c r="J139" s="7" t="n">
        <f aca="false">G139*109.45</f>
        <v>2079.55</v>
      </c>
      <c r="K139" s="7" t="n">
        <f aca="false">I139-J139</f>
        <v>1701.45</v>
      </c>
    </row>
    <row r="140" customFormat="false" ht="15" hidden="false" customHeight="false" outlineLevel="0" collapsed="false">
      <c r="A140" s="8" t="s">
        <v>184</v>
      </c>
      <c r="B140" s="9" t="n">
        <v>45611</v>
      </c>
      <c r="C140" s="10" t="s">
        <v>33</v>
      </c>
      <c r="D140" s="10" t="s">
        <v>34</v>
      </c>
      <c r="E140" s="10" t="s">
        <v>27</v>
      </c>
      <c r="F140" s="10" t="s">
        <v>28</v>
      </c>
      <c r="G140" s="11" t="n">
        <v>17</v>
      </c>
      <c r="H140" s="12" t="n">
        <v>549</v>
      </c>
      <c r="I140" s="12" t="n">
        <f aca="false">G140*H140</f>
        <v>9333</v>
      </c>
      <c r="J140" s="12" t="n">
        <f aca="false">G140*301.95</f>
        <v>5133.15</v>
      </c>
      <c r="K140" s="12" t="n">
        <f aca="false">I140-J140</f>
        <v>4199.85</v>
      </c>
    </row>
    <row r="141" customFormat="false" ht="15" hidden="false" customHeight="false" outlineLevel="0" collapsed="false">
      <c r="A141" s="3" t="s">
        <v>185</v>
      </c>
      <c r="B141" s="4" t="n">
        <v>45338</v>
      </c>
      <c r="C141" s="5" t="s">
        <v>33</v>
      </c>
      <c r="D141" s="5" t="s">
        <v>34</v>
      </c>
      <c r="E141" s="5" t="s">
        <v>18</v>
      </c>
      <c r="F141" s="5" t="s">
        <v>19</v>
      </c>
      <c r="G141" s="6" t="n">
        <v>16</v>
      </c>
      <c r="H141" s="7" t="n">
        <v>89</v>
      </c>
      <c r="I141" s="7" t="n">
        <f aca="false">G141*H141</f>
        <v>1424</v>
      </c>
      <c r="J141" s="7" t="n">
        <f aca="false">G141*17.8</f>
        <v>284.8</v>
      </c>
      <c r="K141" s="7" t="n">
        <f aca="false">I141-J141</f>
        <v>1139.2</v>
      </c>
    </row>
    <row r="142" customFormat="false" ht="15" hidden="false" customHeight="false" outlineLevel="0" collapsed="false">
      <c r="A142" s="8" t="s">
        <v>186</v>
      </c>
      <c r="B142" s="9" t="n">
        <v>45362</v>
      </c>
      <c r="C142" s="10" t="s">
        <v>33</v>
      </c>
      <c r="D142" s="10" t="s">
        <v>38</v>
      </c>
      <c r="E142" s="10" t="s">
        <v>15</v>
      </c>
      <c r="F142" s="10" t="s">
        <v>46</v>
      </c>
      <c r="G142" s="11" t="n">
        <v>4</v>
      </c>
      <c r="H142" s="12" t="n">
        <v>59</v>
      </c>
      <c r="I142" s="12" t="n">
        <f aca="false">G142*H142</f>
        <v>236</v>
      </c>
      <c r="J142" s="12" t="n">
        <f aca="false">G142*26.55</f>
        <v>106.2</v>
      </c>
      <c r="K142" s="12" t="n">
        <f aca="false">I142-J142</f>
        <v>129.8</v>
      </c>
    </row>
    <row r="143" customFormat="false" ht="15" hidden="false" customHeight="false" outlineLevel="0" collapsed="false">
      <c r="A143" s="3" t="s">
        <v>187</v>
      </c>
      <c r="B143" s="4" t="n">
        <v>45537</v>
      </c>
      <c r="C143" s="5" t="s">
        <v>41</v>
      </c>
      <c r="D143" s="5" t="s">
        <v>49</v>
      </c>
      <c r="E143" s="5" t="s">
        <v>15</v>
      </c>
      <c r="F143" s="5" t="s">
        <v>69</v>
      </c>
      <c r="G143" s="6" t="n">
        <v>13</v>
      </c>
      <c r="H143" s="7" t="n">
        <v>199</v>
      </c>
      <c r="I143" s="7" t="n">
        <f aca="false">G143*H143</f>
        <v>2587</v>
      </c>
      <c r="J143" s="7" t="n">
        <f aca="false">G143*89.55</f>
        <v>1164.15</v>
      </c>
      <c r="K143" s="7" t="n">
        <f aca="false">I143-J143</f>
        <v>1422.85</v>
      </c>
    </row>
    <row r="144" customFormat="false" ht="15" hidden="false" customHeight="false" outlineLevel="0" collapsed="false">
      <c r="A144" s="8" t="s">
        <v>188</v>
      </c>
      <c r="B144" s="9" t="n">
        <v>45347</v>
      </c>
      <c r="C144" s="10" t="s">
        <v>41</v>
      </c>
      <c r="D144" s="10" t="s">
        <v>42</v>
      </c>
      <c r="E144" s="10" t="s">
        <v>15</v>
      </c>
      <c r="F144" s="10" t="s">
        <v>46</v>
      </c>
      <c r="G144" s="11" t="n">
        <v>11</v>
      </c>
      <c r="H144" s="12" t="n">
        <v>59</v>
      </c>
      <c r="I144" s="12" t="n">
        <f aca="false">G144*H144</f>
        <v>649</v>
      </c>
      <c r="J144" s="12" t="n">
        <f aca="false">G144*26.55</f>
        <v>292.05</v>
      </c>
      <c r="K144" s="12" t="n">
        <f aca="false">I144-J144</f>
        <v>356.95</v>
      </c>
    </row>
    <row r="145" customFormat="false" ht="15" hidden="false" customHeight="false" outlineLevel="0" collapsed="false">
      <c r="A145" s="3" t="s">
        <v>189</v>
      </c>
      <c r="B145" s="4" t="n">
        <v>45298</v>
      </c>
      <c r="C145" s="5" t="s">
        <v>41</v>
      </c>
      <c r="D145" s="5" t="s">
        <v>42</v>
      </c>
      <c r="E145" s="5" t="s">
        <v>18</v>
      </c>
      <c r="F145" s="5" t="s">
        <v>19</v>
      </c>
      <c r="G145" s="6" t="n">
        <v>14</v>
      </c>
      <c r="H145" s="7" t="n">
        <v>89</v>
      </c>
      <c r="I145" s="7" t="n">
        <f aca="false">G145*H145</f>
        <v>1246</v>
      </c>
      <c r="J145" s="7" t="n">
        <f aca="false">G145*17.8</f>
        <v>249.2</v>
      </c>
      <c r="K145" s="7" t="n">
        <f aca="false">I145-J145</f>
        <v>996.8</v>
      </c>
    </row>
    <row r="146" customFormat="false" ht="15" hidden="false" customHeight="false" outlineLevel="0" collapsed="false">
      <c r="A146" s="8" t="s">
        <v>190</v>
      </c>
      <c r="B146" s="9" t="n">
        <v>45298</v>
      </c>
      <c r="C146" s="10" t="s">
        <v>25</v>
      </c>
      <c r="D146" s="10" t="s">
        <v>26</v>
      </c>
      <c r="E146" s="10" t="s">
        <v>18</v>
      </c>
      <c r="F146" s="10" t="s">
        <v>19</v>
      </c>
      <c r="G146" s="11" t="n">
        <v>15</v>
      </c>
      <c r="H146" s="12" t="n">
        <v>89</v>
      </c>
      <c r="I146" s="12" t="n">
        <f aca="false">G146*H146</f>
        <v>1335</v>
      </c>
      <c r="J146" s="12" t="n">
        <f aca="false">G146*17.8</f>
        <v>267</v>
      </c>
      <c r="K146" s="12" t="n">
        <f aca="false">I146-J146</f>
        <v>1068</v>
      </c>
    </row>
    <row r="147" customFormat="false" ht="15" hidden="false" customHeight="false" outlineLevel="0" collapsed="false">
      <c r="A147" s="3" t="s">
        <v>191</v>
      </c>
      <c r="B147" s="4" t="n">
        <v>45323</v>
      </c>
      <c r="C147" s="5" t="s">
        <v>33</v>
      </c>
      <c r="D147" s="5" t="s">
        <v>34</v>
      </c>
      <c r="E147" s="5" t="s">
        <v>15</v>
      </c>
      <c r="F147" s="5" t="s">
        <v>46</v>
      </c>
      <c r="G147" s="6" t="n">
        <v>16</v>
      </c>
      <c r="H147" s="7" t="n">
        <v>59</v>
      </c>
      <c r="I147" s="7" t="n">
        <f aca="false">G147*H147</f>
        <v>944</v>
      </c>
      <c r="J147" s="7" t="n">
        <f aca="false">G147*26.55</f>
        <v>424.8</v>
      </c>
      <c r="K147" s="7" t="n">
        <f aca="false">I147-J147</f>
        <v>519.2</v>
      </c>
    </row>
    <row r="148" customFormat="false" ht="15" hidden="false" customHeight="false" outlineLevel="0" collapsed="false">
      <c r="A148" s="8" t="s">
        <v>192</v>
      </c>
      <c r="B148" s="9" t="n">
        <v>45309</v>
      </c>
      <c r="C148" s="10" t="s">
        <v>25</v>
      </c>
      <c r="D148" s="10" t="s">
        <v>59</v>
      </c>
      <c r="E148" s="10" t="s">
        <v>27</v>
      </c>
      <c r="F148" s="10" t="s">
        <v>28</v>
      </c>
      <c r="G148" s="11" t="n">
        <v>18</v>
      </c>
      <c r="H148" s="12" t="n">
        <v>549</v>
      </c>
      <c r="I148" s="12" t="n">
        <f aca="false">G148*H148</f>
        <v>9882</v>
      </c>
      <c r="J148" s="12" t="n">
        <f aca="false">G148*301.95</f>
        <v>5435.1</v>
      </c>
      <c r="K148" s="12" t="n">
        <f aca="false">I148-J148</f>
        <v>4446.9</v>
      </c>
    </row>
    <row r="149" customFormat="false" ht="15" hidden="false" customHeight="false" outlineLevel="0" collapsed="false">
      <c r="A149" s="3" t="s">
        <v>193</v>
      </c>
      <c r="B149" s="4" t="n">
        <v>45343</v>
      </c>
      <c r="C149" s="5" t="s">
        <v>41</v>
      </c>
      <c r="D149" s="5" t="s">
        <v>42</v>
      </c>
      <c r="E149" s="5" t="s">
        <v>27</v>
      </c>
      <c r="F149" s="5" t="s">
        <v>66</v>
      </c>
      <c r="G149" s="6" t="n">
        <v>15</v>
      </c>
      <c r="H149" s="7" t="n">
        <v>249</v>
      </c>
      <c r="I149" s="7" t="n">
        <f aca="false">G149*H149</f>
        <v>3735</v>
      </c>
      <c r="J149" s="7" t="n">
        <f aca="false">G149*136.95</f>
        <v>2054.25</v>
      </c>
      <c r="K149" s="7" t="n">
        <f aca="false">I149-J149</f>
        <v>1680.75</v>
      </c>
    </row>
    <row r="150" customFormat="false" ht="15" hidden="false" customHeight="false" outlineLevel="0" collapsed="false">
      <c r="A150" s="8" t="s">
        <v>194</v>
      </c>
      <c r="B150" s="9" t="n">
        <v>45500</v>
      </c>
      <c r="C150" s="10" t="s">
        <v>21</v>
      </c>
      <c r="D150" s="10" t="s">
        <v>75</v>
      </c>
      <c r="E150" s="10" t="s">
        <v>15</v>
      </c>
      <c r="F150" s="10" t="s">
        <v>69</v>
      </c>
      <c r="G150" s="11" t="n">
        <v>9</v>
      </c>
      <c r="H150" s="12" t="n">
        <v>199</v>
      </c>
      <c r="I150" s="12" t="n">
        <f aca="false">G150*H150</f>
        <v>1791</v>
      </c>
      <c r="J150" s="12" t="n">
        <f aca="false">G150*89.55</f>
        <v>805.95</v>
      </c>
      <c r="K150" s="12" t="n">
        <f aca="false">I150-J150</f>
        <v>985.05</v>
      </c>
    </row>
    <row r="151" customFormat="false" ht="15" hidden="false" customHeight="false" outlineLevel="0" collapsed="false">
      <c r="A151" s="3" t="s">
        <v>195</v>
      </c>
      <c r="B151" s="4" t="n">
        <v>45364</v>
      </c>
      <c r="C151" s="5" t="s">
        <v>41</v>
      </c>
      <c r="D151" s="5" t="s">
        <v>49</v>
      </c>
      <c r="E151" s="5" t="s">
        <v>27</v>
      </c>
      <c r="F151" s="5" t="s">
        <v>28</v>
      </c>
      <c r="G151" s="6" t="n">
        <v>18</v>
      </c>
      <c r="H151" s="7" t="n">
        <v>549</v>
      </c>
      <c r="I151" s="7" t="n">
        <f aca="false">G151*H151</f>
        <v>9882</v>
      </c>
      <c r="J151" s="7" t="n">
        <f aca="false">G151*301.95</f>
        <v>5435.1</v>
      </c>
      <c r="K151" s="7" t="n">
        <f aca="false">I151-J151</f>
        <v>4446.9</v>
      </c>
    </row>
    <row r="152" customFormat="false" ht="15" hidden="false" customHeight="false" outlineLevel="0" collapsed="false">
      <c r="A152" s="8" t="s">
        <v>196</v>
      </c>
      <c r="B152" s="9" t="n">
        <v>45469</v>
      </c>
      <c r="C152" s="10" t="s">
        <v>21</v>
      </c>
      <c r="D152" s="10" t="s">
        <v>22</v>
      </c>
      <c r="E152" s="10" t="s">
        <v>35</v>
      </c>
      <c r="F152" s="10" t="s">
        <v>36</v>
      </c>
      <c r="G152" s="11" t="n">
        <v>14</v>
      </c>
      <c r="H152" s="12" t="n">
        <v>1299</v>
      </c>
      <c r="I152" s="12" t="n">
        <f aca="false">G152*H152</f>
        <v>18186</v>
      </c>
      <c r="J152" s="12" t="n">
        <f aca="false">G152*779.4</f>
        <v>10911.6</v>
      </c>
      <c r="K152" s="12" t="n">
        <f aca="false">I152-J152</f>
        <v>7274.4</v>
      </c>
    </row>
    <row r="153" customFormat="false" ht="15" hidden="false" customHeight="false" outlineLevel="0" collapsed="false">
      <c r="A153" s="3" t="s">
        <v>197</v>
      </c>
      <c r="B153" s="4" t="n">
        <v>45584</v>
      </c>
      <c r="C153" s="5" t="s">
        <v>25</v>
      </c>
      <c r="D153" s="5" t="s">
        <v>26</v>
      </c>
      <c r="E153" s="5" t="s">
        <v>35</v>
      </c>
      <c r="F153" s="5" t="s">
        <v>36</v>
      </c>
      <c r="G153" s="6" t="n">
        <v>10</v>
      </c>
      <c r="H153" s="7" t="n">
        <v>1299</v>
      </c>
      <c r="I153" s="7" t="n">
        <f aca="false">G153*H153</f>
        <v>12990</v>
      </c>
      <c r="J153" s="7" t="n">
        <f aca="false">G153*779.4</f>
        <v>7794</v>
      </c>
      <c r="K153" s="7" t="n">
        <f aca="false">I153-J153</f>
        <v>5196</v>
      </c>
    </row>
    <row r="154" customFormat="false" ht="15" hidden="false" customHeight="false" outlineLevel="0" collapsed="false">
      <c r="A154" s="8" t="s">
        <v>198</v>
      </c>
      <c r="B154" s="9" t="n">
        <v>45454</v>
      </c>
      <c r="C154" s="10" t="s">
        <v>41</v>
      </c>
      <c r="D154" s="10" t="s">
        <v>42</v>
      </c>
      <c r="E154" s="10" t="s">
        <v>30</v>
      </c>
      <c r="F154" s="10" t="s">
        <v>117</v>
      </c>
      <c r="G154" s="11" t="n">
        <v>16</v>
      </c>
      <c r="H154" s="12" t="n">
        <v>329</v>
      </c>
      <c r="I154" s="12" t="n">
        <f aca="false">G154*H154</f>
        <v>5264</v>
      </c>
      <c r="J154" s="12" t="n">
        <f aca="false">G154*190.82</f>
        <v>3053.12</v>
      </c>
      <c r="K154" s="12" t="n">
        <f aca="false">I154-J154</f>
        <v>2210.88</v>
      </c>
    </row>
    <row r="155" customFormat="false" ht="15" hidden="false" customHeight="false" outlineLevel="0" collapsed="false">
      <c r="A155" s="3" t="s">
        <v>199</v>
      </c>
      <c r="B155" s="4" t="n">
        <v>45634</v>
      </c>
      <c r="C155" s="5" t="s">
        <v>25</v>
      </c>
      <c r="D155" s="5" t="s">
        <v>26</v>
      </c>
      <c r="E155" s="5" t="s">
        <v>30</v>
      </c>
      <c r="F155" s="5" t="s">
        <v>31</v>
      </c>
      <c r="G155" s="6" t="n">
        <v>7</v>
      </c>
      <c r="H155" s="7" t="n">
        <v>799</v>
      </c>
      <c r="I155" s="7" t="n">
        <f aca="false">G155*H155</f>
        <v>5593</v>
      </c>
      <c r="J155" s="7" t="n">
        <f aca="false">G155*463.42</f>
        <v>3243.94</v>
      </c>
      <c r="K155" s="7" t="n">
        <f aca="false">I155-J155</f>
        <v>2349.06</v>
      </c>
    </row>
    <row r="156" customFormat="false" ht="15" hidden="false" customHeight="false" outlineLevel="0" collapsed="false">
      <c r="A156" s="8" t="s">
        <v>200</v>
      </c>
      <c r="B156" s="9" t="n">
        <v>45467</v>
      </c>
      <c r="C156" s="10" t="s">
        <v>25</v>
      </c>
      <c r="D156" s="10" t="s">
        <v>26</v>
      </c>
      <c r="E156" s="10" t="s">
        <v>27</v>
      </c>
      <c r="F156" s="10" t="s">
        <v>28</v>
      </c>
      <c r="G156" s="11" t="n">
        <v>2</v>
      </c>
      <c r="H156" s="12" t="n">
        <v>549</v>
      </c>
      <c r="I156" s="12" t="n">
        <f aca="false">G156*H156</f>
        <v>1098</v>
      </c>
      <c r="J156" s="12" t="n">
        <f aca="false">G156*301.95</f>
        <v>603.9</v>
      </c>
      <c r="K156" s="12" t="n">
        <f aca="false">I156-J156</f>
        <v>494.1</v>
      </c>
    </row>
    <row r="157" customFormat="false" ht="15" hidden="false" customHeight="false" outlineLevel="0" collapsed="false">
      <c r="A157" s="3" t="s">
        <v>201</v>
      </c>
      <c r="B157" s="4" t="n">
        <v>45506</v>
      </c>
      <c r="C157" s="5" t="s">
        <v>41</v>
      </c>
      <c r="D157" s="5" t="s">
        <v>49</v>
      </c>
      <c r="E157" s="5" t="s">
        <v>30</v>
      </c>
      <c r="F157" s="5" t="s">
        <v>117</v>
      </c>
      <c r="G157" s="6" t="n">
        <v>5</v>
      </c>
      <c r="H157" s="7" t="n">
        <v>329</v>
      </c>
      <c r="I157" s="7" t="n">
        <f aca="false">G157*H157</f>
        <v>1645</v>
      </c>
      <c r="J157" s="7" t="n">
        <f aca="false">G157*190.82</f>
        <v>954.1</v>
      </c>
      <c r="K157" s="7" t="n">
        <f aca="false">I157-J157</f>
        <v>690.9</v>
      </c>
    </row>
    <row r="158" customFormat="false" ht="15" hidden="false" customHeight="false" outlineLevel="0" collapsed="false">
      <c r="A158" s="8" t="s">
        <v>202</v>
      </c>
      <c r="B158" s="9" t="n">
        <v>45550</v>
      </c>
      <c r="C158" s="10" t="s">
        <v>21</v>
      </c>
      <c r="D158" s="10" t="s">
        <v>75</v>
      </c>
      <c r="E158" s="10" t="s">
        <v>35</v>
      </c>
      <c r="F158" s="10" t="s">
        <v>36</v>
      </c>
      <c r="G158" s="11" t="n">
        <v>4</v>
      </c>
      <c r="H158" s="12" t="n">
        <v>1299</v>
      </c>
      <c r="I158" s="12" t="n">
        <f aca="false">G158*H158</f>
        <v>5196</v>
      </c>
      <c r="J158" s="12" t="n">
        <f aca="false">G158*779.4</f>
        <v>3117.6</v>
      </c>
      <c r="K158" s="12" t="n">
        <f aca="false">I158-J158</f>
        <v>2078.4</v>
      </c>
    </row>
    <row r="159" customFormat="false" ht="15" hidden="false" customHeight="false" outlineLevel="0" collapsed="false">
      <c r="A159" s="3" t="s">
        <v>203</v>
      </c>
      <c r="B159" s="4" t="n">
        <v>45338</v>
      </c>
      <c r="C159" s="5" t="s">
        <v>13</v>
      </c>
      <c r="D159" s="5" t="s">
        <v>14</v>
      </c>
      <c r="E159" s="5" t="s">
        <v>30</v>
      </c>
      <c r="F159" s="5" t="s">
        <v>117</v>
      </c>
      <c r="G159" s="6" t="n">
        <v>5</v>
      </c>
      <c r="H159" s="7" t="n">
        <v>329</v>
      </c>
      <c r="I159" s="7" t="n">
        <f aca="false">G159*H159</f>
        <v>1645</v>
      </c>
      <c r="J159" s="7" t="n">
        <f aca="false">G159*190.82</f>
        <v>954.1</v>
      </c>
      <c r="K159" s="7" t="n">
        <f aca="false">I159-J159</f>
        <v>690.9</v>
      </c>
    </row>
    <row r="160" customFormat="false" ht="15" hidden="false" customHeight="false" outlineLevel="0" collapsed="false">
      <c r="A160" s="8" t="s">
        <v>204</v>
      </c>
      <c r="B160" s="9" t="n">
        <v>45599</v>
      </c>
      <c r="C160" s="10" t="s">
        <v>33</v>
      </c>
      <c r="D160" s="10" t="s">
        <v>38</v>
      </c>
      <c r="E160" s="10" t="s">
        <v>18</v>
      </c>
      <c r="F160" s="10" t="s">
        <v>23</v>
      </c>
      <c r="G160" s="11" t="n">
        <v>13</v>
      </c>
      <c r="H160" s="12" t="n">
        <v>119</v>
      </c>
      <c r="I160" s="12" t="n">
        <f aca="false">G160*H160</f>
        <v>1547</v>
      </c>
      <c r="J160" s="12" t="n">
        <f aca="false">G160*23.8</f>
        <v>309.4</v>
      </c>
      <c r="K160" s="12" t="n">
        <f aca="false">I160-J160</f>
        <v>1237.6</v>
      </c>
    </row>
    <row r="161" customFormat="false" ht="15" hidden="false" customHeight="false" outlineLevel="0" collapsed="false">
      <c r="A161" s="3" t="s">
        <v>205</v>
      </c>
      <c r="B161" s="4" t="n">
        <v>45537</v>
      </c>
      <c r="C161" s="5" t="s">
        <v>33</v>
      </c>
      <c r="D161" s="5" t="s">
        <v>38</v>
      </c>
      <c r="E161" s="5" t="s">
        <v>15</v>
      </c>
      <c r="F161" s="5" t="s">
        <v>69</v>
      </c>
      <c r="G161" s="6" t="n">
        <v>16</v>
      </c>
      <c r="H161" s="7" t="n">
        <v>199</v>
      </c>
      <c r="I161" s="7" t="n">
        <f aca="false">G161*H161</f>
        <v>3184</v>
      </c>
      <c r="J161" s="7" t="n">
        <f aca="false">G161*89.55</f>
        <v>1432.8</v>
      </c>
      <c r="K161" s="7" t="n">
        <f aca="false">I161-J161</f>
        <v>1751.2</v>
      </c>
    </row>
    <row r="162" customFormat="false" ht="15" hidden="false" customHeight="false" outlineLevel="0" collapsed="false">
      <c r="A162" s="8" t="s">
        <v>206</v>
      </c>
      <c r="B162" s="9" t="n">
        <v>45406</v>
      </c>
      <c r="C162" s="10" t="s">
        <v>25</v>
      </c>
      <c r="D162" s="10" t="s">
        <v>59</v>
      </c>
      <c r="E162" s="10" t="s">
        <v>27</v>
      </c>
      <c r="F162" s="10" t="s">
        <v>100</v>
      </c>
      <c r="G162" s="11" t="n">
        <v>10</v>
      </c>
      <c r="H162" s="12" t="n">
        <v>199</v>
      </c>
      <c r="I162" s="12" t="n">
        <f aca="false">G162*H162</f>
        <v>1990</v>
      </c>
      <c r="J162" s="12" t="n">
        <f aca="false">G162*109.45</f>
        <v>1094.5</v>
      </c>
      <c r="K162" s="12" t="n">
        <f aca="false">I162-J162</f>
        <v>895.5</v>
      </c>
    </row>
    <row r="163" customFormat="false" ht="15" hidden="false" customHeight="false" outlineLevel="0" collapsed="false">
      <c r="A163" s="3" t="s">
        <v>207</v>
      </c>
      <c r="B163" s="4" t="n">
        <v>45510</v>
      </c>
      <c r="C163" s="5" t="s">
        <v>13</v>
      </c>
      <c r="D163" s="5" t="s">
        <v>52</v>
      </c>
      <c r="E163" s="5" t="s">
        <v>35</v>
      </c>
      <c r="F163" s="5" t="s">
        <v>39</v>
      </c>
      <c r="G163" s="6" t="n">
        <v>4</v>
      </c>
      <c r="H163" s="7" t="n">
        <v>1799</v>
      </c>
      <c r="I163" s="7" t="n">
        <f aca="false">G163*H163</f>
        <v>7196</v>
      </c>
      <c r="J163" s="7" t="n">
        <f aca="false">G163*1079.4</f>
        <v>4317.6</v>
      </c>
      <c r="K163" s="7" t="n">
        <f aca="false">I163-J163</f>
        <v>2878.4</v>
      </c>
    </row>
    <row r="164" customFormat="false" ht="15" hidden="false" customHeight="false" outlineLevel="0" collapsed="false">
      <c r="A164" s="8" t="s">
        <v>208</v>
      </c>
      <c r="B164" s="9" t="n">
        <v>45424</v>
      </c>
      <c r="C164" s="10" t="s">
        <v>33</v>
      </c>
      <c r="D164" s="10" t="s">
        <v>34</v>
      </c>
      <c r="E164" s="10" t="s">
        <v>35</v>
      </c>
      <c r="F164" s="10" t="s">
        <v>36</v>
      </c>
      <c r="G164" s="11" t="n">
        <v>2</v>
      </c>
      <c r="H164" s="12" t="n">
        <v>1299</v>
      </c>
      <c r="I164" s="12" t="n">
        <f aca="false">G164*H164</f>
        <v>2598</v>
      </c>
      <c r="J164" s="12" t="n">
        <f aca="false">G164*779.4</f>
        <v>1558.8</v>
      </c>
      <c r="K164" s="12" t="n">
        <f aca="false">I164-J164</f>
        <v>1039.2</v>
      </c>
    </row>
    <row r="165" customFormat="false" ht="15" hidden="false" customHeight="false" outlineLevel="0" collapsed="false">
      <c r="A165" s="3" t="s">
        <v>209</v>
      </c>
      <c r="B165" s="4" t="n">
        <v>45492</v>
      </c>
      <c r="C165" s="5" t="s">
        <v>33</v>
      </c>
      <c r="D165" s="5" t="s">
        <v>38</v>
      </c>
      <c r="E165" s="5" t="s">
        <v>27</v>
      </c>
      <c r="F165" s="5" t="s">
        <v>66</v>
      </c>
      <c r="G165" s="6" t="n">
        <v>17</v>
      </c>
      <c r="H165" s="7" t="n">
        <v>249</v>
      </c>
      <c r="I165" s="7" t="n">
        <f aca="false">G165*H165</f>
        <v>4233</v>
      </c>
      <c r="J165" s="7" t="n">
        <f aca="false">G165*136.95</f>
        <v>2328.15</v>
      </c>
      <c r="K165" s="7" t="n">
        <f aca="false">I165-J165</f>
        <v>1904.85</v>
      </c>
    </row>
    <row r="166" customFormat="false" ht="15" hidden="false" customHeight="false" outlineLevel="0" collapsed="false">
      <c r="A166" s="8" t="s">
        <v>210</v>
      </c>
      <c r="B166" s="9" t="n">
        <v>45493</v>
      </c>
      <c r="C166" s="10" t="s">
        <v>21</v>
      </c>
      <c r="D166" s="10" t="s">
        <v>22</v>
      </c>
      <c r="E166" s="10" t="s">
        <v>27</v>
      </c>
      <c r="F166" s="10" t="s">
        <v>66</v>
      </c>
      <c r="G166" s="11" t="n">
        <v>20</v>
      </c>
      <c r="H166" s="12" t="n">
        <v>249</v>
      </c>
      <c r="I166" s="12" t="n">
        <f aca="false">G166*H166</f>
        <v>4980</v>
      </c>
      <c r="J166" s="12" t="n">
        <f aca="false">G166*136.95</f>
        <v>2739</v>
      </c>
      <c r="K166" s="12" t="n">
        <f aca="false">I166-J166</f>
        <v>2241</v>
      </c>
    </row>
    <row r="167" customFormat="false" ht="15" hidden="false" customHeight="false" outlineLevel="0" collapsed="false">
      <c r="A167" s="3" t="s">
        <v>211</v>
      </c>
      <c r="B167" s="4" t="n">
        <v>45525</v>
      </c>
      <c r="C167" s="5" t="s">
        <v>21</v>
      </c>
      <c r="D167" s="5" t="s">
        <v>75</v>
      </c>
      <c r="E167" s="5" t="s">
        <v>18</v>
      </c>
      <c r="F167" s="5" t="s">
        <v>50</v>
      </c>
      <c r="G167" s="6" t="n">
        <v>8</v>
      </c>
      <c r="H167" s="7" t="n">
        <v>149</v>
      </c>
      <c r="I167" s="7" t="n">
        <f aca="false">G167*H167</f>
        <v>1192</v>
      </c>
      <c r="J167" s="7" t="n">
        <f aca="false">G167*29.8</f>
        <v>238.4</v>
      </c>
      <c r="K167" s="7" t="n">
        <f aca="false">I167-J167</f>
        <v>953.6</v>
      </c>
    </row>
    <row r="168" customFormat="false" ht="15" hidden="false" customHeight="false" outlineLevel="0" collapsed="false">
      <c r="A168" s="8" t="s">
        <v>212</v>
      </c>
      <c r="B168" s="9" t="n">
        <v>45514</v>
      </c>
      <c r="C168" s="10" t="s">
        <v>33</v>
      </c>
      <c r="D168" s="10" t="s">
        <v>38</v>
      </c>
      <c r="E168" s="10" t="s">
        <v>15</v>
      </c>
      <c r="F168" s="10" t="s">
        <v>69</v>
      </c>
      <c r="G168" s="11" t="n">
        <v>1</v>
      </c>
      <c r="H168" s="12" t="n">
        <v>199</v>
      </c>
      <c r="I168" s="12" t="n">
        <f aca="false">G168*H168</f>
        <v>199</v>
      </c>
      <c r="J168" s="12" t="n">
        <f aca="false">G168*89.55</f>
        <v>89.55</v>
      </c>
      <c r="K168" s="12" t="n">
        <f aca="false">I168-J168</f>
        <v>109.45</v>
      </c>
    </row>
    <row r="169" customFormat="false" ht="15" hidden="false" customHeight="false" outlineLevel="0" collapsed="false">
      <c r="A169" s="3" t="s">
        <v>213</v>
      </c>
      <c r="B169" s="4" t="n">
        <v>45575</v>
      </c>
      <c r="C169" s="5" t="s">
        <v>25</v>
      </c>
      <c r="D169" s="5" t="s">
        <v>59</v>
      </c>
      <c r="E169" s="5" t="s">
        <v>35</v>
      </c>
      <c r="F169" s="5" t="s">
        <v>36</v>
      </c>
      <c r="G169" s="6" t="n">
        <v>12</v>
      </c>
      <c r="H169" s="7" t="n">
        <v>1299</v>
      </c>
      <c r="I169" s="7" t="n">
        <f aca="false">G169*H169</f>
        <v>15588</v>
      </c>
      <c r="J169" s="7" t="n">
        <f aca="false">G169*779.4</f>
        <v>9352.8</v>
      </c>
      <c r="K169" s="7" t="n">
        <f aca="false">I169-J169</f>
        <v>6235.2</v>
      </c>
    </row>
    <row r="170" customFormat="false" ht="15" hidden="false" customHeight="false" outlineLevel="0" collapsed="false">
      <c r="A170" s="8" t="s">
        <v>214</v>
      </c>
      <c r="B170" s="9" t="n">
        <v>45501</v>
      </c>
      <c r="C170" s="10" t="s">
        <v>41</v>
      </c>
      <c r="D170" s="10" t="s">
        <v>49</v>
      </c>
      <c r="E170" s="10" t="s">
        <v>30</v>
      </c>
      <c r="F170" s="10" t="s">
        <v>31</v>
      </c>
      <c r="G170" s="11" t="n">
        <v>7</v>
      </c>
      <c r="H170" s="12" t="n">
        <v>799</v>
      </c>
      <c r="I170" s="12" t="n">
        <f aca="false">G170*H170</f>
        <v>5593</v>
      </c>
      <c r="J170" s="12" t="n">
        <f aca="false">G170*463.42</f>
        <v>3243.94</v>
      </c>
      <c r="K170" s="12" t="n">
        <f aca="false">I170-J170</f>
        <v>2349.06</v>
      </c>
    </row>
    <row r="171" customFormat="false" ht="15" hidden="false" customHeight="false" outlineLevel="0" collapsed="false">
      <c r="A171" s="3" t="s">
        <v>215</v>
      </c>
      <c r="B171" s="4" t="n">
        <v>45462</v>
      </c>
      <c r="C171" s="5" t="s">
        <v>41</v>
      </c>
      <c r="D171" s="5" t="s">
        <v>42</v>
      </c>
      <c r="E171" s="5" t="s">
        <v>27</v>
      </c>
      <c r="F171" s="5" t="s">
        <v>28</v>
      </c>
      <c r="G171" s="6" t="n">
        <v>19</v>
      </c>
      <c r="H171" s="7" t="n">
        <v>549</v>
      </c>
      <c r="I171" s="7" t="n">
        <f aca="false">G171*H171</f>
        <v>10431</v>
      </c>
      <c r="J171" s="7" t="n">
        <f aca="false">G171*301.95</f>
        <v>5737.05</v>
      </c>
      <c r="K171" s="7" t="n">
        <f aca="false">I171-J171</f>
        <v>4693.95</v>
      </c>
    </row>
    <row r="172" customFormat="false" ht="15" hidden="false" customHeight="false" outlineLevel="0" collapsed="false">
      <c r="A172" s="8" t="s">
        <v>216</v>
      </c>
      <c r="B172" s="9" t="n">
        <v>45413</v>
      </c>
      <c r="C172" s="10" t="s">
        <v>33</v>
      </c>
      <c r="D172" s="10" t="s">
        <v>38</v>
      </c>
      <c r="E172" s="10" t="s">
        <v>35</v>
      </c>
      <c r="F172" s="10" t="s">
        <v>39</v>
      </c>
      <c r="G172" s="11" t="n">
        <v>13</v>
      </c>
      <c r="H172" s="12" t="n">
        <v>1799</v>
      </c>
      <c r="I172" s="12" t="n">
        <f aca="false">G172*H172</f>
        <v>23387</v>
      </c>
      <c r="J172" s="12" t="n">
        <f aca="false">G172*1079.4</f>
        <v>14032.2</v>
      </c>
      <c r="K172" s="12" t="n">
        <f aca="false">I172-J172</f>
        <v>9354.8</v>
      </c>
    </row>
    <row r="173" customFormat="false" ht="15" hidden="false" customHeight="false" outlineLevel="0" collapsed="false">
      <c r="A173" s="3" t="s">
        <v>217</v>
      </c>
      <c r="B173" s="4" t="n">
        <v>45437</v>
      </c>
      <c r="C173" s="5" t="s">
        <v>25</v>
      </c>
      <c r="D173" s="5" t="s">
        <v>59</v>
      </c>
      <c r="E173" s="5" t="s">
        <v>18</v>
      </c>
      <c r="F173" s="5" t="s">
        <v>23</v>
      </c>
      <c r="G173" s="6" t="n">
        <v>16</v>
      </c>
      <c r="H173" s="7" t="n">
        <v>119</v>
      </c>
      <c r="I173" s="7" t="n">
        <f aca="false">G173*H173</f>
        <v>1904</v>
      </c>
      <c r="J173" s="7" t="n">
        <f aca="false">G173*23.8</f>
        <v>380.8</v>
      </c>
      <c r="K173" s="7" t="n">
        <f aca="false">I173-J173</f>
        <v>1523.2</v>
      </c>
    </row>
    <row r="174" customFormat="false" ht="15" hidden="false" customHeight="false" outlineLevel="0" collapsed="false">
      <c r="A174" s="8" t="s">
        <v>218</v>
      </c>
      <c r="B174" s="9" t="n">
        <v>45574</v>
      </c>
      <c r="C174" s="10" t="s">
        <v>21</v>
      </c>
      <c r="D174" s="10" t="s">
        <v>75</v>
      </c>
      <c r="E174" s="10" t="s">
        <v>27</v>
      </c>
      <c r="F174" s="10" t="s">
        <v>100</v>
      </c>
      <c r="G174" s="11" t="n">
        <v>7</v>
      </c>
      <c r="H174" s="12" t="n">
        <v>199</v>
      </c>
      <c r="I174" s="12" t="n">
        <f aca="false">G174*H174</f>
        <v>1393</v>
      </c>
      <c r="J174" s="12" t="n">
        <f aca="false">G174*109.45</f>
        <v>766.15</v>
      </c>
      <c r="K174" s="12" t="n">
        <f aca="false">I174-J174</f>
        <v>626.85</v>
      </c>
    </row>
    <row r="175" customFormat="false" ht="15" hidden="false" customHeight="false" outlineLevel="0" collapsed="false">
      <c r="A175" s="3" t="s">
        <v>219</v>
      </c>
      <c r="B175" s="4" t="n">
        <v>45310</v>
      </c>
      <c r="C175" s="5" t="s">
        <v>21</v>
      </c>
      <c r="D175" s="5" t="s">
        <v>22</v>
      </c>
      <c r="E175" s="5" t="s">
        <v>35</v>
      </c>
      <c r="F175" s="5" t="s">
        <v>36</v>
      </c>
      <c r="G175" s="6" t="n">
        <v>15</v>
      </c>
      <c r="H175" s="7" t="n">
        <v>1299</v>
      </c>
      <c r="I175" s="7" t="n">
        <f aca="false">G175*H175</f>
        <v>19485</v>
      </c>
      <c r="J175" s="7" t="n">
        <f aca="false">G175*779.4</f>
        <v>11691</v>
      </c>
      <c r="K175" s="7" t="n">
        <f aca="false">I175-J175</f>
        <v>7794</v>
      </c>
    </row>
    <row r="176" customFormat="false" ht="15" hidden="false" customHeight="false" outlineLevel="0" collapsed="false">
      <c r="A176" s="8" t="s">
        <v>220</v>
      </c>
      <c r="B176" s="9" t="n">
        <v>45640</v>
      </c>
      <c r="C176" s="10" t="s">
        <v>33</v>
      </c>
      <c r="D176" s="10" t="s">
        <v>34</v>
      </c>
      <c r="E176" s="10" t="s">
        <v>35</v>
      </c>
      <c r="F176" s="10" t="s">
        <v>36</v>
      </c>
      <c r="G176" s="11" t="n">
        <v>11</v>
      </c>
      <c r="H176" s="12" t="n">
        <v>1299</v>
      </c>
      <c r="I176" s="12" t="n">
        <f aca="false">G176*H176</f>
        <v>14289</v>
      </c>
      <c r="J176" s="12" t="n">
        <f aca="false">G176*779.4</f>
        <v>8573.4</v>
      </c>
      <c r="K176" s="12" t="n">
        <f aca="false">I176-J176</f>
        <v>5715.6</v>
      </c>
    </row>
    <row r="177" customFormat="false" ht="15" hidden="false" customHeight="false" outlineLevel="0" collapsed="false">
      <c r="A177" s="3" t="s">
        <v>221</v>
      </c>
      <c r="B177" s="4" t="n">
        <v>45552</v>
      </c>
      <c r="C177" s="5" t="s">
        <v>21</v>
      </c>
      <c r="D177" s="5" t="s">
        <v>22</v>
      </c>
      <c r="E177" s="5" t="s">
        <v>27</v>
      </c>
      <c r="F177" s="5" t="s">
        <v>100</v>
      </c>
      <c r="G177" s="6" t="n">
        <v>12</v>
      </c>
      <c r="H177" s="7" t="n">
        <v>199</v>
      </c>
      <c r="I177" s="7" t="n">
        <f aca="false">G177*H177</f>
        <v>2388</v>
      </c>
      <c r="J177" s="7" t="n">
        <f aca="false">G177*109.45</f>
        <v>1313.4</v>
      </c>
      <c r="K177" s="7" t="n">
        <f aca="false">I177-J177</f>
        <v>1074.6</v>
      </c>
    </row>
    <row r="178" customFormat="false" ht="15" hidden="false" customHeight="false" outlineLevel="0" collapsed="false">
      <c r="A178" s="8" t="s">
        <v>222</v>
      </c>
      <c r="B178" s="9" t="n">
        <v>45654</v>
      </c>
      <c r="C178" s="10" t="s">
        <v>33</v>
      </c>
      <c r="D178" s="10" t="s">
        <v>34</v>
      </c>
      <c r="E178" s="10" t="s">
        <v>15</v>
      </c>
      <c r="F178" s="10" t="s">
        <v>46</v>
      </c>
      <c r="G178" s="11" t="n">
        <v>10</v>
      </c>
      <c r="H178" s="12" t="n">
        <v>59</v>
      </c>
      <c r="I178" s="12" t="n">
        <f aca="false">G178*H178</f>
        <v>590</v>
      </c>
      <c r="J178" s="12" t="n">
        <f aca="false">G178*26.55</f>
        <v>265.5</v>
      </c>
      <c r="K178" s="12" t="n">
        <f aca="false">I178-J178</f>
        <v>324.5</v>
      </c>
    </row>
    <row r="179" customFormat="false" ht="15" hidden="false" customHeight="false" outlineLevel="0" collapsed="false">
      <c r="A179" s="3" t="s">
        <v>223</v>
      </c>
      <c r="B179" s="4" t="n">
        <v>45410</v>
      </c>
      <c r="C179" s="5" t="s">
        <v>33</v>
      </c>
      <c r="D179" s="5" t="s">
        <v>34</v>
      </c>
      <c r="E179" s="5" t="s">
        <v>30</v>
      </c>
      <c r="F179" s="5" t="s">
        <v>76</v>
      </c>
      <c r="G179" s="6" t="n">
        <v>5</v>
      </c>
      <c r="H179" s="7" t="n">
        <v>499</v>
      </c>
      <c r="I179" s="7" t="n">
        <f aca="false">G179*H179</f>
        <v>2495</v>
      </c>
      <c r="J179" s="7" t="n">
        <f aca="false">G179*289.42</f>
        <v>1447.1</v>
      </c>
      <c r="K179" s="7" t="n">
        <f aca="false">I179-J179</f>
        <v>1047.9</v>
      </c>
    </row>
    <row r="180" customFormat="false" ht="15" hidden="false" customHeight="false" outlineLevel="0" collapsed="false">
      <c r="A180" s="8" t="s">
        <v>224</v>
      </c>
      <c r="B180" s="9" t="n">
        <v>45430</v>
      </c>
      <c r="C180" s="10" t="s">
        <v>41</v>
      </c>
      <c r="D180" s="10" t="s">
        <v>49</v>
      </c>
      <c r="E180" s="10" t="s">
        <v>35</v>
      </c>
      <c r="F180" s="10" t="s">
        <v>36</v>
      </c>
      <c r="G180" s="11" t="n">
        <v>1</v>
      </c>
      <c r="H180" s="12" t="n">
        <v>1299</v>
      </c>
      <c r="I180" s="12" t="n">
        <f aca="false">G180*H180</f>
        <v>1299</v>
      </c>
      <c r="J180" s="12" t="n">
        <f aca="false">G180*779.4</f>
        <v>779.4</v>
      </c>
      <c r="K180" s="12" t="n">
        <f aca="false">I180-J180</f>
        <v>519.6</v>
      </c>
    </row>
    <row r="181" customFormat="false" ht="15" hidden="false" customHeight="false" outlineLevel="0" collapsed="false">
      <c r="A181" s="3" t="s">
        <v>225</v>
      </c>
      <c r="B181" s="4" t="n">
        <v>45578</v>
      </c>
      <c r="C181" s="5" t="s">
        <v>13</v>
      </c>
      <c r="D181" s="5" t="s">
        <v>52</v>
      </c>
      <c r="E181" s="5" t="s">
        <v>15</v>
      </c>
      <c r="F181" s="5" t="s">
        <v>69</v>
      </c>
      <c r="G181" s="6" t="n">
        <v>9</v>
      </c>
      <c r="H181" s="7" t="n">
        <v>199</v>
      </c>
      <c r="I181" s="7" t="n">
        <f aca="false">G181*H181</f>
        <v>1791</v>
      </c>
      <c r="J181" s="7" t="n">
        <f aca="false">G181*89.55</f>
        <v>805.95</v>
      </c>
      <c r="K181" s="7" t="n">
        <f aca="false">I181-J181</f>
        <v>985.05</v>
      </c>
    </row>
    <row r="182" customFormat="false" ht="15" hidden="false" customHeight="false" outlineLevel="0" collapsed="false">
      <c r="A182" s="8" t="s">
        <v>226</v>
      </c>
      <c r="B182" s="9" t="n">
        <v>45583</v>
      </c>
      <c r="C182" s="10" t="s">
        <v>33</v>
      </c>
      <c r="D182" s="10" t="s">
        <v>34</v>
      </c>
      <c r="E182" s="10" t="s">
        <v>27</v>
      </c>
      <c r="F182" s="10" t="s">
        <v>28</v>
      </c>
      <c r="G182" s="11" t="n">
        <v>1</v>
      </c>
      <c r="H182" s="12" t="n">
        <v>549</v>
      </c>
      <c r="I182" s="12" t="n">
        <f aca="false">G182*H182</f>
        <v>549</v>
      </c>
      <c r="J182" s="12" t="n">
        <f aca="false">G182*301.95</f>
        <v>301.95</v>
      </c>
      <c r="K182" s="12" t="n">
        <f aca="false">I182-J182</f>
        <v>247.05</v>
      </c>
    </row>
    <row r="183" customFormat="false" ht="15" hidden="false" customHeight="false" outlineLevel="0" collapsed="false">
      <c r="A183" s="3" t="s">
        <v>227</v>
      </c>
      <c r="B183" s="4" t="n">
        <v>45636</v>
      </c>
      <c r="C183" s="5" t="s">
        <v>33</v>
      </c>
      <c r="D183" s="5" t="s">
        <v>34</v>
      </c>
      <c r="E183" s="5" t="s">
        <v>35</v>
      </c>
      <c r="F183" s="5" t="s">
        <v>39</v>
      </c>
      <c r="G183" s="6" t="n">
        <v>15</v>
      </c>
      <c r="H183" s="7" t="n">
        <v>1799</v>
      </c>
      <c r="I183" s="7" t="n">
        <f aca="false">G183*H183</f>
        <v>26985</v>
      </c>
      <c r="J183" s="7" t="n">
        <f aca="false">G183*1079.4</f>
        <v>16191</v>
      </c>
      <c r="K183" s="7" t="n">
        <f aca="false">I183-J183</f>
        <v>10794</v>
      </c>
    </row>
    <row r="184" customFormat="false" ht="15" hidden="false" customHeight="false" outlineLevel="0" collapsed="false">
      <c r="A184" s="8" t="s">
        <v>228</v>
      </c>
      <c r="B184" s="9" t="n">
        <v>45428</v>
      </c>
      <c r="C184" s="10" t="s">
        <v>41</v>
      </c>
      <c r="D184" s="10" t="s">
        <v>42</v>
      </c>
      <c r="E184" s="10" t="s">
        <v>27</v>
      </c>
      <c r="F184" s="10" t="s">
        <v>66</v>
      </c>
      <c r="G184" s="11" t="n">
        <v>2</v>
      </c>
      <c r="H184" s="12" t="n">
        <v>249</v>
      </c>
      <c r="I184" s="12" t="n">
        <f aca="false">G184*H184</f>
        <v>498</v>
      </c>
      <c r="J184" s="12" t="n">
        <f aca="false">G184*136.95</f>
        <v>273.9</v>
      </c>
      <c r="K184" s="12" t="n">
        <f aca="false">I184-J184</f>
        <v>224.1</v>
      </c>
    </row>
    <row r="185" customFormat="false" ht="15" hidden="false" customHeight="false" outlineLevel="0" collapsed="false">
      <c r="A185" s="3" t="s">
        <v>229</v>
      </c>
      <c r="B185" s="4" t="n">
        <v>45488</v>
      </c>
      <c r="C185" s="5" t="s">
        <v>13</v>
      </c>
      <c r="D185" s="5" t="s">
        <v>14</v>
      </c>
      <c r="E185" s="5" t="s">
        <v>27</v>
      </c>
      <c r="F185" s="5" t="s">
        <v>100</v>
      </c>
      <c r="G185" s="6" t="n">
        <v>5</v>
      </c>
      <c r="H185" s="7" t="n">
        <v>199</v>
      </c>
      <c r="I185" s="7" t="n">
        <f aca="false">G185*H185</f>
        <v>995</v>
      </c>
      <c r="J185" s="7" t="n">
        <f aca="false">G185*109.45</f>
        <v>547.25</v>
      </c>
      <c r="K185" s="7" t="n">
        <f aca="false">I185-J185</f>
        <v>447.75</v>
      </c>
    </row>
    <row r="186" customFormat="false" ht="15" hidden="false" customHeight="false" outlineLevel="0" collapsed="false">
      <c r="A186" s="8" t="s">
        <v>230</v>
      </c>
      <c r="B186" s="9" t="n">
        <v>45494</v>
      </c>
      <c r="C186" s="10" t="s">
        <v>33</v>
      </c>
      <c r="D186" s="10" t="s">
        <v>38</v>
      </c>
      <c r="E186" s="10" t="s">
        <v>18</v>
      </c>
      <c r="F186" s="10" t="s">
        <v>23</v>
      </c>
      <c r="G186" s="11" t="n">
        <v>5</v>
      </c>
      <c r="H186" s="12" t="n">
        <v>119</v>
      </c>
      <c r="I186" s="12" t="n">
        <f aca="false">G186*H186</f>
        <v>595</v>
      </c>
      <c r="J186" s="12" t="n">
        <f aca="false">G186*23.8</f>
        <v>119</v>
      </c>
      <c r="K186" s="12" t="n">
        <f aca="false">I186-J186</f>
        <v>476</v>
      </c>
    </row>
    <row r="187" customFormat="false" ht="15" hidden="false" customHeight="false" outlineLevel="0" collapsed="false">
      <c r="A187" s="3" t="s">
        <v>231</v>
      </c>
      <c r="B187" s="4" t="n">
        <v>45314</v>
      </c>
      <c r="C187" s="5" t="s">
        <v>13</v>
      </c>
      <c r="D187" s="5" t="s">
        <v>52</v>
      </c>
      <c r="E187" s="5" t="s">
        <v>18</v>
      </c>
      <c r="F187" s="5" t="s">
        <v>19</v>
      </c>
      <c r="G187" s="6" t="n">
        <v>9</v>
      </c>
      <c r="H187" s="7" t="n">
        <v>89</v>
      </c>
      <c r="I187" s="7" t="n">
        <f aca="false">G187*H187</f>
        <v>801</v>
      </c>
      <c r="J187" s="7" t="n">
        <f aca="false">G187*17.8</f>
        <v>160.2</v>
      </c>
      <c r="K187" s="7" t="n">
        <f aca="false">I187-J187</f>
        <v>640.8</v>
      </c>
    </row>
    <row r="188" customFormat="false" ht="15" hidden="false" customHeight="false" outlineLevel="0" collapsed="false">
      <c r="A188" s="8" t="s">
        <v>232</v>
      </c>
      <c r="B188" s="9" t="n">
        <v>45447</v>
      </c>
      <c r="C188" s="10" t="s">
        <v>33</v>
      </c>
      <c r="D188" s="10" t="s">
        <v>34</v>
      </c>
      <c r="E188" s="10" t="s">
        <v>30</v>
      </c>
      <c r="F188" s="10" t="s">
        <v>31</v>
      </c>
      <c r="G188" s="11" t="n">
        <v>8</v>
      </c>
      <c r="H188" s="12" t="n">
        <v>799</v>
      </c>
      <c r="I188" s="12" t="n">
        <f aca="false">G188*H188</f>
        <v>6392</v>
      </c>
      <c r="J188" s="12" t="n">
        <f aca="false">G188*463.42</f>
        <v>3707.36</v>
      </c>
      <c r="K188" s="12" t="n">
        <f aca="false">I188-J188</f>
        <v>2684.64</v>
      </c>
    </row>
    <row r="189" customFormat="false" ht="15" hidden="false" customHeight="false" outlineLevel="0" collapsed="false">
      <c r="A189" s="3" t="s">
        <v>233</v>
      </c>
      <c r="B189" s="4" t="n">
        <v>45386</v>
      </c>
      <c r="C189" s="5" t="s">
        <v>33</v>
      </c>
      <c r="D189" s="5" t="s">
        <v>38</v>
      </c>
      <c r="E189" s="5" t="s">
        <v>35</v>
      </c>
      <c r="F189" s="5" t="s">
        <v>36</v>
      </c>
      <c r="G189" s="6" t="n">
        <v>9</v>
      </c>
      <c r="H189" s="7" t="n">
        <v>1299</v>
      </c>
      <c r="I189" s="7" t="n">
        <f aca="false">G189*H189</f>
        <v>11691</v>
      </c>
      <c r="J189" s="7" t="n">
        <f aca="false">G189*779.4</f>
        <v>7014.6</v>
      </c>
      <c r="K189" s="7" t="n">
        <f aca="false">I189-J189</f>
        <v>4676.4</v>
      </c>
    </row>
    <row r="190" customFormat="false" ht="15" hidden="false" customHeight="false" outlineLevel="0" collapsed="false">
      <c r="A190" s="8" t="s">
        <v>234</v>
      </c>
      <c r="B190" s="9" t="n">
        <v>45293</v>
      </c>
      <c r="C190" s="10" t="s">
        <v>41</v>
      </c>
      <c r="D190" s="10" t="s">
        <v>42</v>
      </c>
      <c r="E190" s="10" t="s">
        <v>27</v>
      </c>
      <c r="F190" s="10" t="s">
        <v>100</v>
      </c>
      <c r="G190" s="11" t="n">
        <v>20</v>
      </c>
      <c r="H190" s="12" t="n">
        <v>199</v>
      </c>
      <c r="I190" s="12" t="n">
        <f aca="false">G190*H190</f>
        <v>3980</v>
      </c>
      <c r="J190" s="12" t="n">
        <f aca="false">G190*109.45</f>
        <v>2189</v>
      </c>
      <c r="K190" s="12" t="n">
        <f aca="false">I190-J190</f>
        <v>1791</v>
      </c>
    </row>
    <row r="191" customFormat="false" ht="15" hidden="false" customHeight="false" outlineLevel="0" collapsed="false">
      <c r="A191" s="3" t="s">
        <v>235</v>
      </c>
      <c r="B191" s="4" t="n">
        <v>45349</v>
      </c>
      <c r="C191" s="5" t="s">
        <v>33</v>
      </c>
      <c r="D191" s="5" t="s">
        <v>34</v>
      </c>
      <c r="E191" s="5" t="s">
        <v>27</v>
      </c>
      <c r="F191" s="5" t="s">
        <v>100</v>
      </c>
      <c r="G191" s="6" t="n">
        <v>7</v>
      </c>
      <c r="H191" s="7" t="n">
        <v>199</v>
      </c>
      <c r="I191" s="7" t="n">
        <f aca="false">G191*H191</f>
        <v>1393</v>
      </c>
      <c r="J191" s="7" t="n">
        <f aca="false">G191*109.45</f>
        <v>766.15</v>
      </c>
      <c r="K191" s="7" t="n">
        <f aca="false">I191-J191</f>
        <v>626.85</v>
      </c>
    </row>
    <row r="192" customFormat="false" ht="15" hidden="false" customHeight="false" outlineLevel="0" collapsed="false">
      <c r="A192" s="8" t="s">
        <v>236</v>
      </c>
      <c r="B192" s="9" t="n">
        <v>45468</v>
      </c>
      <c r="C192" s="10" t="s">
        <v>25</v>
      </c>
      <c r="D192" s="10" t="s">
        <v>59</v>
      </c>
      <c r="E192" s="10" t="s">
        <v>18</v>
      </c>
      <c r="F192" s="10" t="s">
        <v>50</v>
      </c>
      <c r="G192" s="11" t="n">
        <v>8</v>
      </c>
      <c r="H192" s="12" t="n">
        <v>149</v>
      </c>
      <c r="I192" s="12" t="n">
        <f aca="false">G192*H192</f>
        <v>1192</v>
      </c>
      <c r="J192" s="12" t="n">
        <f aca="false">G192*29.8</f>
        <v>238.4</v>
      </c>
      <c r="K192" s="12" t="n">
        <f aca="false">I192-J192</f>
        <v>953.6</v>
      </c>
    </row>
    <row r="193" customFormat="false" ht="15" hidden="false" customHeight="false" outlineLevel="0" collapsed="false">
      <c r="A193" s="3" t="s">
        <v>237</v>
      </c>
      <c r="B193" s="4" t="n">
        <v>45544</v>
      </c>
      <c r="C193" s="5" t="s">
        <v>21</v>
      </c>
      <c r="D193" s="5" t="s">
        <v>22</v>
      </c>
      <c r="E193" s="5" t="s">
        <v>15</v>
      </c>
      <c r="F193" s="5" t="s">
        <v>16</v>
      </c>
      <c r="G193" s="6" t="n">
        <v>5</v>
      </c>
      <c r="H193" s="7" t="n">
        <v>79</v>
      </c>
      <c r="I193" s="7" t="n">
        <f aca="false">G193*H193</f>
        <v>395</v>
      </c>
      <c r="J193" s="7" t="n">
        <f aca="false">G193*35.55</f>
        <v>177.75</v>
      </c>
      <c r="K193" s="7" t="n">
        <f aca="false">I193-J193</f>
        <v>217.25</v>
      </c>
    </row>
    <row r="194" customFormat="false" ht="15" hidden="false" customHeight="false" outlineLevel="0" collapsed="false">
      <c r="A194" s="8" t="s">
        <v>238</v>
      </c>
      <c r="B194" s="9" t="n">
        <v>45469</v>
      </c>
      <c r="C194" s="10" t="s">
        <v>21</v>
      </c>
      <c r="D194" s="10" t="s">
        <v>22</v>
      </c>
      <c r="E194" s="10" t="s">
        <v>35</v>
      </c>
      <c r="F194" s="10" t="s">
        <v>57</v>
      </c>
      <c r="G194" s="11" t="n">
        <v>1</v>
      </c>
      <c r="H194" s="12" t="n">
        <v>899</v>
      </c>
      <c r="I194" s="12" t="n">
        <f aca="false">G194*H194</f>
        <v>899</v>
      </c>
      <c r="J194" s="12" t="n">
        <f aca="false">G194*539.4</f>
        <v>539.4</v>
      </c>
      <c r="K194" s="12" t="n">
        <f aca="false">I194-J194</f>
        <v>359.6</v>
      </c>
    </row>
    <row r="195" customFormat="false" ht="15" hidden="false" customHeight="false" outlineLevel="0" collapsed="false">
      <c r="A195" s="3" t="s">
        <v>239</v>
      </c>
      <c r="B195" s="4" t="n">
        <v>45296</v>
      </c>
      <c r="C195" s="5" t="s">
        <v>21</v>
      </c>
      <c r="D195" s="5" t="s">
        <v>75</v>
      </c>
      <c r="E195" s="5" t="s">
        <v>35</v>
      </c>
      <c r="F195" s="5" t="s">
        <v>57</v>
      </c>
      <c r="G195" s="6" t="n">
        <v>9</v>
      </c>
      <c r="H195" s="7" t="n">
        <v>899</v>
      </c>
      <c r="I195" s="7" t="n">
        <f aca="false">G195*H195</f>
        <v>8091</v>
      </c>
      <c r="J195" s="7" t="n">
        <f aca="false">G195*539.4</f>
        <v>4854.6</v>
      </c>
      <c r="K195" s="7" t="n">
        <f aca="false">I195-J195</f>
        <v>3236.4</v>
      </c>
    </row>
    <row r="196" customFormat="false" ht="15" hidden="false" customHeight="false" outlineLevel="0" collapsed="false">
      <c r="A196" s="8" t="s">
        <v>240</v>
      </c>
      <c r="B196" s="9" t="n">
        <v>45460</v>
      </c>
      <c r="C196" s="10" t="s">
        <v>41</v>
      </c>
      <c r="D196" s="10" t="s">
        <v>42</v>
      </c>
      <c r="E196" s="10" t="s">
        <v>35</v>
      </c>
      <c r="F196" s="10" t="s">
        <v>36</v>
      </c>
      <c r="G196" s="11" t="n">
        <v>15</v>
      </c>
      <c r="H196" s="12" t="n">
        <v>1299</v>
      </c>
      <c r="I196" s="12" t="n">
        <f aca="false">G196*H196</f>
        <v>19485</v>
      </c>
      <c r="J196" s="12" t="n">
        <f aca="false">G196*779.4</f>
        <v>11691</v>
      </c>
      <c r="K196" s="12" t="n">
        <f aca="false">I196-J196</f>
        <v>7794</v>
      </c>
    </row>
    <row r="197" customFormat="false" ht="15" hidden="false" customHeight="false" outlineLevel="0" collapsed="false">
      <c r="A197" s="3" t="s">
        <v>241</v>
      </c>
      <c r="B197" s="4" t="n">
        <v>45567</v>
      </c>
      <c r="C197" s="5" t="s">
        <v>25</v>
      </c>
      <c r="D197" s="5" t="s">
        <v>59</v>
      </c>
      <c r="E197" s="5" t="s">
        <v>30</v>
      </c>
      <c r="F197" s="5" t="s">
        <v>117</v>
      </c>
      <c r="G197" s="6" t="n">
        <v>8</v>
      </c>
      <c r="H197" s="7" t="n">
        <v>329</v>
      </c>
      <c r="I197" s="7" t="n">
        <f aca="false">G197*H197</f>
        <v>2632</v>
      </c>
      <c r="J197" s="7" t="n">
        <f aca="false">G197*190.82</f>
        <v>1526.56</v>
      </c>
      <c r="K197" s="7" t="n">
        <f aca="false">I197-J197</f>
        <v>1105.44</v>
      </c>
    </row>
    <row r="198" customFormat="false" ht="15" hidden="false" customHeight="false" outlineLevel="0" collapsed="false">
      <c r="A198" s="8" t="s">
        <v>242</v>
      </c>
      <c r="B198" s="9" t="n">
        <v>45307</v>
      </c>
      <c r="C198" s="10" t="s">
        <v>25</v>
      </c>
      <c r="D198" s="10" t="s">
        <v>26</v>
      </c>
      <c r="E198" s="10" t="s">
        <v>30</v>
      </c>
      <c r="F198" s="10" t="s">
        <v>117</v>
      </c>
      <c r="G198" s="11" t="n">
        <v>1</v>
      </c>
      <c r="H198" s="12" t="n">
        <v>329</v>
      </c>
      <c r="I198" s="12" t="n">
        <f aca="false">G198*H198</f>
        <v>329</v>
      </c>
      <c r="J198" s="12" t="n">
        <f aca="false">G198*190.82</f>
        <v>190.82</v>
      </c>
      <c r="K198" s="12" t="n">
        <f aca="false">I198-J198</f>
        <v>138.18</v>
      </c>
    </row>
    <row r="199" customFormat="false" ht="15" hidden="false" customHeight="false" outlineLevel="0" collapsed="false">
      <c r="A199" s="3" t="s">
        <v>243</v>
      </c>
      <c r="B199" s="4" t="n">
        <v>45325</v>
      </c>
      <c r="C199" s="5" t="s">
        <v>41</v>
      </c>
      <c r="D199" s="5" t="s">
        <v>49</v>
      </c>
      <c r="E199" s="5" t="s">
        <v>35</v>
      </c>
      <c r="F199" s="5" t="s">
        <v>36</v>
      </c>
      <c r="G199" s="6" t="n">
        <v>15</v>
      </c>
      <c r="H199" s="7" t="n">
        <v>1299</v>
      </c>
      <c r="I199" s="7" t="n">
        <f aca="false">G199*H199</f>
        <v>19485</v>
      </c>
      <c r="J199" s="7" t="n">
        <f aca="false">G199*779.4</f>
        <v>11691</v>
      </c>
      <c r="K199" s="7" t="n">
        <f aca="false">I199-J199</f>
        <v>7794</v>
      </c>
    </row>
    <row r="200" customFormat="false" ht="15" hidden="false" customHeight="false" outlineLevel="0" collapsed="false">
      <c r="A200" s="8" t="s">
        <v>244</v>
      </c>
      <c r="B200" s="9" t="n">
        <v>45586</v>
      </c>
      <c r="C200" s="10" t="s">
        <v>33</v>
      </c>
      <c r="D200" s="10" t="s">
        <v>34</v>
      </c>
      <c r="E200" s="10" t="s">
        <v>35</v>
      </c>
      <c r="F200" s="10" t="s">
        <v>57</v>
      </c>
      <c r="G200" s="11" t="n">
        <v>9</v>
      </c>
      <c r="H200" s="12" t="n">
        <v>899</v>
      </c>
      <c r="I200" s="12" t="n">
        <f aca="false">G200*H200</f>
        <v>8091</v>
      </c>
      <c r="J200" s="12" t="n">
        <f aca="false">G200*539.4</f>
        <v>4854.6</v>
      </c>
      <c r="K200" s="12" t="n">
        <f aca="false">I200-J200</f>
        <v>3236.4</v>
      </c>
    </row>
    <row r="201" customFormat="false" ht="15" hidden="false" customHeight="false" outlineLevel="0" collapsed="false">
      <c r="A201" s="3" t="s">
        <v>245</v>
      </c>
      <c r="B201" s="4" t="n">
        <v>45427</v>
      </c>
      <c r="C201" s="5" t="s">
        <v>25</v>
      </c>
      <c r="D201" s="5" t="s">
        <v>26</v>
      </c>
      <c r="E201" s="5" t="s">
        <v>30</v>
      </c>
      <c r="F201" s="5" t="s">
        <v>117</v>
      </c>
      <c r="G201" s="6" t="n">
        <v>17</v>
      </c>
      <c r="H201" s="7" t="n">
        <v>329</v>
      </c>
      <c r="I201" s="7" t="n">
        <f aca="false">G201*H201</f>
        <v>5593</v>
      </c>
      <c r="J201" s="7" t="n">
        <f aca="false">G201*190.82</f>
        <v>3243.94</v>
      </c>
      <c r="K201" s="7" t="n">
        <f aca="false">I201-J201</f>
        <v>2349.06</v>
      </c>
    </row>
    <row r="202" customFormat="false" ht="15" hidden="false" customHeight="false" outlineLevel="0" collapsed="false">
      <c r="A202" s="8" t="s">
        <v>246</v>
      </c>
      <c r="B202" s="9" t="n">
        <v>45617</v>
      </c>
      <c r="C202" s="10" t="s">
        <v>25</v>
      </c>
      <c r="D202" s="10" t="s">
        <v>26</v>
      </c>
      <c r="E202" s="10" t="s">
        <v>35</v>
      </c>
      <c r="F202" s="10" t="s">
        <v>39</v>
      </c>
      <c r="G202" s="11" t="n">
        <v>4</v>
      </c>
      <c r="H202" s="12" t="n">
        <v>1799</v>
      </c>
      <c r="I202" s="12" t="n">
        <f aca="false">G202*H202</f>
        <v>7196</v>
      </c>
      <c r="J202" s="12" t="n">
        <f aca="false">G202*1079.4</f>
        <v>4317.6</v>
      </c>
      <c r="K202" s="12" t="n">
        <f aca="false">I202-J202</f>
        <v>2878.4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4"/>
  </cols>
  <sheetData>
    <row r="1" customFormat="false" ht="27.75" hidden="false" customHeight="true" outlineLevel="0" collapsed="false">
      <c r="A1" s="13" t="s">
        <v>247</v>
      </c>
      <c r="B1" s="13"/>
    </row>
    <row r="2" customFormat="false" ht="18" hidden="false" customHeight="true" outlineLevel="0" collapsed="false">
      <c r="A2" s="14" t="s">
        <v>248</v>
      </c>
      <c r="B2" s="14"/>
    </row>
    <row r="3" customFormat="false" ht="31.5" hidden="false" customHeight="true" outlineLevel="0" collapsed="false">
      <c r="A3" s="15" t="s">
        <v>249</v>
      </c>
      <c r="B3" s="16" t="s">
        <v>250</v>
      </c>
    </row>
    <row r="4" customFormat="false" ht="31.5" hidden="false" customHeight="true" outlineLevel="0" collapsed="false">
      <c r="A4" s="15" t="s">
        <v>251</v>
      </c>
      <c r="B4" s="16" t="s">
        <v>252</v>
      </c>
    </row>
    <row r="5" customFormat="false" ht="31.5" hidden="false" customHeight="true" outlineLevel="0" collapsed="false">
      <c r="A5" s="15" t="s">
        <v>253</v>
      </c>
      <c r="B5" s="16" t="s">
        <v>254</v>
      </c>
    </row>
    <row r="6" customFormat="false" ht="31.5" hidden="false" customHeight="true" outlineLevel="0" collapsed="false">
      <c r="A6" s="15" t="s">
        <v>255</v>
      </c>
      <c r="B6" s="16" t="s">
        <v>256</v>
      </c>
    </row>
    <row r="7" customFormat="false" ht="31.5" hidden="false" customHeight="true" outlineLevel="0" collapsed="false">
      <c r="A7" s="15" t="s">
        <v>257</v>
      </c>
      <c r="B7" s="16" t="s">
        <v>258</v>
      </c>
    </row>
    <row r="8" customFormat="false" ht="18" hidden="false" customHeight="true" outlineLevel="0" collapsed="false">
      <c r="A8" s="14" t="s">
        <v>259</v>
      </c>
      <c r="B8" s="14"/>
    </row>
    <row r="9" customFormat="false" ht="31.5" hidden="false" customHeight="true" outlineLevel="0" collapsed="false">
      <c r="A9" s="15" t="s">
        <v>260</v>
      </c>
      <c r="B9" s="16" t="s">
        <v>261</v>
      </c>
    </row>
    <row r="10" customFormat="false" ht="31.5" hidden="false" customHeight="true" outlineLevel="0" collapsed="false">
      <c r="A10" s="15" t="s">
        <v>262</v>
      </c>
      <c r="B10" s="16" t="s">
        <v>263</v>
      </c>
    </row>
    <row r="11" customFormat="false" ht="31.5" hidden="false" customHeight="true" outlineLevel="0" collapsed="false">
      <c r="A11" s="15" t="s">
        <v>264</v>
      </c>
      <c r="B11" s="16" t="s">
        <v>265</v>
      </c>
    </row>
    <row r="12" customFormat="false" ht="31.5" hidden="false" customHeight="true" outlineLevel="0" collapsed="false">
      <c r="A12" s="15" t="s">
        <v>266</v>
      </c>
      <c r="B12" s="16" t="s">
        <v>267</v>
      </c>
    </row>
    <row r="13" customFormat="false" ht="31.5" hidden="false" customHeight="true" outlineLevel="0" collapsed="false">
      <c r="A13" s="15" t="s">
        <v>268</v>
      </c>
      <c r="B13" s="16" t="s">
        <v>269</v>
      </c>
    </row>
    <row r="14" customFormat="false" ht="18" hidden="false" customHeight="true" outlineLevel="0" collapsed="false">
      <c r="A14" s="14" t="s">
        <v>270</v>
      </c>
      <c r="B14" s="14"/>
    </row>
    <row r="15" customFormat="false" ht="31.5" hidden="false" customHeight="true" outlineLevel="0" collapsed="false">
      <c r="A15" s="15" t="s">
        <v>271</v>
      </c>
      <c r="B15" s="16" t="s">
        <v>272</v>
      </c>
    </row>
    <row r="16" customFormat="false" ht="31.5" hidden="false" customHeight="true" outlineLevel="0" collapsed="false">
      <c r="A16" s="15" t="s">
        <v>273</v>
      </c>
      <c r="B16" s="16" t="s">
        <v>274</v>
      </c>
    </row>
    <row r="17" customFormat="false" ht="31.5" hidden="false" customHeight="true" outlineLevel="0" collapsed="false">
      <c r="A17" s="15" t="s">
        <v>275</v>
      </c>
      <c r="B17" s="16" t="s">
        <v>276</v>
      </c>
    </row>
    <row r="18" customFormat="false" ht="31.5" hidden="false" customHeight="true" outlineLevel="0" collapsed="false">
      <c r="A18" s="15" t="s">
        <v>277</v>
      </c>
      <c r="B18" s="16" t="s">
        <v>278</v>
      </c>
    </row>
    <row r="19" customFormat="false" ht="18" hidden="false" customHeight="true" outlineLevel="0" collapsed="false">
      <c r="A19" s="14" t="s">
        <v>279</v>
      </c>
      <c r="B19" s="14"/>
    </row>
    <row r="20" customFormat="false" ht="31.5" hidden="false" customHeight="true" outlineLevel="0" collapsed="false">
      <c r="A20" s="15" t="s">
        <v>280</v>
      </c>
      <c r="B20" s="16" t="s">
        <v>281</v>
      </c>
    </row>
    <row r="21" customFormat="false" ht="31.5" hidden="false" customHeight="true" outlineLevel="0" collapsed="false">
      <c r="A21" s="15" t="s">
        <v>282</v>
      </c>
      <c r="B21" s="16" t="s">
        <v>283</v>
      </c>
    </row>
    <row r="22" customFormat="false" ht="31.5" hidden="false" customHeight="true" outlineLevel="0" collapsed="false">
      <c r="A22" s="15" t="s">
        <v>284</v>
      </c>
      <c r="B22" s="16" t="s">
        <v>285</v>
      </c>
    </row>
    <row r="23" customFormat="false" ht="31.5" hidden="false" customHeight="true" outlineLevel="0" collapsed="false">
      <c r="A23" s="15" t="s">
        <v>286</v>
      </c>
      <c r="B23" s="16" t="s">
        <v>287</v>
      </c>
    </row>
    <row r="24" customFormat="false" ht="18" hidden="false" customHeight="true" outlineLevel="0" collapsed="false">
      <c r="A24" s="14" t="s">
        <v>288</v>
      </c>
      <c r="B24" s="14"/>
    </row>
    <row r="25" customFormat="false" ht="31.5" hidden="false" customHeight="true" outlineLevel="0" collapsed="false">
      <c r="A25" s="15" t="s">
        <v>289</v>
      </c>
      <c r="B25" s="16" t="s">
        <v>290</v>
      </c>
    </row>
    <row r="26" customFormat="false" ht="31.5" hidden="false" customHeight="true" outlineLevel="0" collapsed="false">
      <c r="A26" s="15" t="s">
        <v>291</v>
      </c>
      <c r="B26" s="16" t="s">
        <v>292</v>
      </c>
    </row>
    <row r="27" customFormat="false" ht="31.5" hidden="false" customHeight="true" outlineLevel="0" collapsed="false">
      <c r="A27" s="15" t="s">
        <v>293</v>
      </c>
      <c r="B27" s="16" t="s">
        <v>294</v>
      </c>
    </row>
    <row r="28" customFormat="false" ht="31.5" hidden="false" customHeight="true" outlineLevel="0" collapsed="false">
      <c r="A28" s="15" t="s">
        <v>295</v>
      </c>
      <c r="B28" s="16" t="s">
        <v>296</v>
      </c>
    </row>
  </sheetData>
  <mergeCells count="6">
    <mergeCell ref="A1:B1"/>
    <mergeCell ref="A2:B2"/>
    <mergeCell ref="A8:B8"/>
    <mergeCell ref="A14:B14"/>
    <mergeCell ref="A19:B19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2026-04-27T19:41:54Z</dcterms:created>
  <dc:creator>openpyxl</dc:creator>
  <dc:description/>
  <dc:language>en-US</dc:language>
  <cp:lastModifiedBy/>
  <dcterms:modified xsi:type="dcterms:W3CDTF">2026-04-27T19:41:55Z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